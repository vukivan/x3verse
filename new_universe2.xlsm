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-90" windowWidth="12405" windowHeight="9690" tabRatio="435" activeTab="2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/>
  <calcPr calcId="125725" refMode="R1C1"/>
</workbook>
</file>

<file path=xl/calcChain.xml><?xml version="1.0" encoding="utf-8"?>
<calcChain xmlns="http://schemas.openxmlformats.org/spreadsheetml/2006/main">
  <c r="B1" i="12"/>
  <c r="A1"/>
  <c r="D1" l="1"/>
  <c r="C23" i="8"/>
  <c r="C24"/>
  <c r="A1" i="3"/>
  <c r="D1" s="1"/>
  <c r="C25" i="13"/>
  <c r="C26" i="11"/>
  <c r="C32" i="5"/>
  <c r="C30" i="11"/>
  <c r="C31" i="8"/>
  <c r="C28" i="14"/>
  <c r="C26" i="5"/>
  <c r="F36" i="9"/>
  <c r="C24" i="5"/>
  <c r="C26" i="8"/>
  <c r="C27"/>
  <c r="C30"/>
  <c r="C27" i="5"/>
  <c r="C33" i="14"/>
  <c r="C29" i="5"/>
  <c r="C25"/>
  <c r="C24" i="11"/>
  <c r="C31" i="13"/>
  <c r="C25" i="11"/>
  <c r="C32" i="13"/>
  <c r="F30" i="9"/>
  <c r="C34" i="5"/>
  <c r="C25" i="14"/>
  <c r="C30" i="13"/>
  <c r="C29" i="14"/>
  <c r="C27" i="13"/>
  <c r="C34" i="11"/>
  <c r="C29" i="8"/>
  <c r="C32" i="14"/>
  <c r="C35" i="13"/>
  <c r="C28" i="11"/>
  <c r="C31" i="14"/>
  <c r="F32" i="9"/>
  <c r="C30" i="5"/>
  <c r="F35" i="9"/>
  <c r="C31" i="5"/>
  <c r="C33"/>
  <c r="C26" i="13"/>
  <c r="C26" i="14"/>
  <c r="F33" i="9"/>
  <c r="F37"/>
  <c r="C33" i="11"/>
  <c r="C34" i="14"/>
  <c r="F34" i="9"/>
  <c r="C31" i="11"/>
  <c r="C35"/>
  <c r="C24" i="13"/>
  <c r="F27" i="9"/>
  <c r="F31"/>
  <c r="C27" i="11"/>
  <c r="C34" i="13"/>
  <c r="C29"/>
  <c r="F28" i="9"/>
  <c r="C28" i="5"/>
  <c r="C28" i="8"/>
  <c r="C24" i="14"/>
  <c r="C29" i="11"/>
  <c r="C32"/>
  <c r="C30" i="14"/>
  <c r="C27"/>
  <c r="C28" i="13"/>
  <c r="C33"/>
  <c r="C35" i="14"/>
  <c r="F29" i="9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<sst xmlns="http://schemas.openxmlformats.org/spreadsheetml/2006/main" count="2980" uniqueCount="840">
  <si>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</si>
  <si>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</si>
  <si>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</si>
  <si>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</si>
  <si>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</si>
  <si>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</si>
  <si>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</si>
  <si>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</si>
  <si>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</si>
  <si>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</si>
  <si>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</si>
  <si>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</si>
  <si>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</si>
  <si>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</si>
  <si>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</si>
  <si>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</si>
  <si>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</si>
  <si>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</si>
  <si>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</si>
  <si>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</si>
  <si>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</si>
  <si>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</si>
  <si>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</si>
  <si>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</si>
  <si>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</si>
  <si>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</si>
  <si>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</si>
  <si>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</si>
  <si>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</si>
  <si>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</si>
  <si>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</si>
  <si>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</si>
  <si>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</si>
  <si>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</si>
  <si>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</si>
  <si>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</si>
  <si>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</si>
  <si>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</si>
  <si>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</si>
  <si>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</si>
  <si>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</si>
  <si>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</si>
  <si>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</si>
  <si>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</si>
  <si>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</si>
  <si>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</si>
  <si>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</si>
  <si>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</si>
  <si>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</si>
  <si>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</si>
  <si>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</si>
  <si>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</si>
  <si>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</si>
  <si>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</si>
  <si>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</si>
  <si>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</si>
  <si>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</si>
  <si>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</si>
  <si>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</si>
  <si>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</si>
  <si>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</si>
  <si>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</si>
  <si>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</si>
  <si>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</si>
  <si>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</si>
  <si>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</si>
  <si>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</si>
  <si>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</si>
  <si>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</si>
  <si>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</si>
  <si>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</si>
  <si>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</si>
  <si>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</si>
  <si>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</si>
  <si>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</si>
  <si>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</si>
  <si>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</si>
  <si>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</si>
  <si>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</si>
  <si>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</si>
  <si>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</si>
  <si>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</si>
  <si>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</si>
  <si>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</si>
  <si>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</si>
  <si>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</si>
  <si>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</si>
  <si>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</si>
  <si>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</si>
  <si>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</si>
  <si>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</si>
  <si>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</si>
  <si>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</si>
  <si>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</si>
  <si>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</si>
  <si>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</si>
  <si>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</si>
  <si>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</si>
  <si>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</si>
  <si>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</si>
  <si>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</si>
  <si>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</si>
  <si>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</si>
  <si>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</si>
  <si>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</si>
  <si>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</si>
  <si>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</si>
  <si>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</si>
  <si>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</si>
  <si>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</si>
  <si>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</si>
  <si>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</si>
  <si>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</si>
  <si>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</si>
  <si>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</si>
  <si>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</si>
  <si>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</si>
  <si>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</si>
  <si>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</si>
  <si>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</si>
  <si>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</si>
  <si>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</si>
  <si>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</si>
  <si>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</si>
  <si>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</si>
  <si>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</si>
  <si>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</si>
  <si>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</si>
  <si>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</si>
  <si>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</si>
  <si>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</si>
  <si>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</si>
  <si>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</si>
  <si>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</si>
  <si>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</si>
  <si>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</si>
  <si>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</si>
  <si>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</si>
  <si>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</si>
  <si>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</si>
  <si>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</si>
  <si>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</si>
  <si>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</si>
  <si>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</si>
  <si>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</si>
  <si>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</si>
  <si>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</si>
  <si>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</si>
  <si>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</si>
  <si>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</si>
  <si>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</si>
  <si>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</si>
  <si>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</si>
  <si>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</si>
  <si>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</si>
  <si>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</si>
  <si>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</si>
  <si>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</si>
  <si>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</si>
  <si>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</si>
  <si>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</si>
  <si>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</si>
  <si>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</si>
  <si>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</si>
  <si>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</si>
  <si>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</si>
  <si>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</si>
  <si>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</si>
  <si>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</si>
  <si>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</si>
  <si>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</si>
  <si>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</si>
  <si>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</si>
  <si>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</si>
  <si>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</si>
  <si>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</si>
  <si>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</si>
  <si>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</si>
  <si>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</si>
  <si>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</si>
  <si>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</si>
  <si>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</si>
  <si>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</si>
  <si>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</si>
  <si>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</si>
  <si>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</si>
  <si>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</si>
  <si>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</si>
  <si>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</si>
  <si>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</si>
  <si>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</si>
  <si>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</si>
  <si>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</si>
  <si>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</si>
  <si>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</si>
  <si>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</si>
  <si>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</si>
  <si>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</si>
  <si>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</si>
  <si>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</si>
  <si>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</si>
  <si>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</si>
  <si>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</si>
  <si>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</si>
  <si>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</si>
  <si>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</si>
  <si>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</si>
  <si>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</si>
  <si>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</si>
  <si>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</si>
  <si>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</si>
  <si>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</si>
  <si>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</si>
  <si>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</si>
  <si>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</si>
  <si>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</si>
  <si>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</si>
  <si>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</si>
  <si>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</si>
  <si>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</si>
  <si>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</si>
  <si>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</si>
  <si>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</si>
  <si>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</si>
  <si>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</si>
  <si>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</si>
  <si>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</si>
  <si>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</si>
  <si>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</si>
  <si>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</si>
  <si>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</si>
  <si>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</si>
  <si>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</si>
  <si>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</si>
  <si>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</si>
  <si>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</si>
  <si>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</si>
  <si>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</si>
  <si>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</si>
  <si>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</si>
  <si>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</si>
  <si>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</si>
  <si>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</si>
  <si>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</si>
  <si>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</si>
  <si>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</si>
  <si>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</si>
  <si>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</si>
  <si>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</si>
  <si>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</si>
  <si>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</si>
  <si>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</si>
  <si>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</si>
  <si>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</si>
  <si>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</si>
  <si>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</si>
  <si>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</si>
  <si>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</si>
  <si>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</si>
  <si>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</si>
  <si>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</si>
  <si>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</si>
  <si>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</si>
  <si>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</si>
  <si>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</si>
  <si>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</si>
  <si>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</si>
  <si>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</si>
  <si>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</si>
  <si>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</si>
  <si>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</si>
  <si>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</si>
  <si>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</si>
  <si>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</si>
  <si>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</si>
  <si>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</si>
  <si>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</si>
  <si>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</si>
  <si>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</si>
  <si>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</si>
  <si>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</si>
  <si>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</si>
  <si>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</si>
  <si>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</si>
  <si>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</si>
  <si>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</si>
  <si>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</si>
  <si>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</si>
  <si>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</si>
  <si>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</si>
  <si>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</si>
  <si>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</si>
  <si>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</si>
  <si>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</si>
  <si>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</si>
  <si>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</si>
  <si>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</si>
  <si>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</si>
  <si>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</si>
  <si>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</si>
  <si>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</si>
  <si>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</si>
  <si>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</si>
  <si>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</si>
  <si>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</si>
  <si>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</si>
  <si>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</si>
  <si>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</si>
  <si>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</si>
  <si>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</si>
  <si>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</si>
  <si>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</si>
  <si>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</si>
  <si>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</si>
  <si>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</si>
  <si>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</si>
  <si>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</si>
  <si>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</si>
  <si>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</si>
  <si>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</si>
  <si>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</si>
  <si>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</si>
  <si>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</si>
  <si>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</si>
  <si>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</si>
  <si>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</si>
  <si>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</si>
  <si>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</si>
  <si>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</si>
  <si>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</si>
  <si>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</si>
  <si>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</si>
  <si>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</si>
  <si>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</si>
  <si>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</si>
  <si>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</si>
  <si>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</si>
  <si>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</si>
  <si>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</si>
  <si>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</si>
  <si>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</si>
  <si>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</si>
  <si>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</si>
  <si>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</si>
  <si>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</si>
  <si>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</si>
  <si>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</si>
  <si>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</si>
  <si>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</si>
  <si>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</si>
  <si>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</si>
  <si>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</si>
  <si>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</si>
  <si>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</si>
  <si>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</si>
  <si>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</si>
  <si>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</si>
  <si>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</si>
  <si>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</si>
  <si>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</si>
  <si>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</si>
  <si>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</si>
  <si>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</si>
  <si>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</si>
  <si>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</si>
  <si>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</si>
  <si>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</si>
  <si>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</si>
  <si>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</si>
  <si>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</si>
  <si>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</si>
  <si>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</si>
  <si>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</si>
  <si>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</si>
  <si>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</si>
  <si>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</si>
  <si>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</si>
  <si>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</si>
  <si>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</si>
  <si>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</si>
  <si>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</si>
  <si>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</si>
  <si>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</si>
  <si>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</si>
  <si>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</si>
  <si>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</si>
  <si>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</si>
  <si>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</si>
  <si>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</si>
  <si>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</si>
  <si>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</si>
  <si>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</si>
  <si>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</si>
  <si>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</si>
  <si>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</si>
  <si>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</si>
  <si>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</si>
  <si>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</si>
  <si>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</si>
  <si>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</si>
  <si>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</si>
  <si>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</si>
  <si>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</si>
  <si>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</si>
  <si>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</si>
  <si>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</si>
  <si>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</si>
  <si>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</si>
  <si>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</si>
  <si>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</si>
  <si>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</si>
  <si>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</si>
  <si>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</si>
  <si>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</si>
  <si>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</si>
  <si>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</si>
  <si>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</si>
  <si>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</si>
  <si>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</si>
  <si>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</si>
  <si>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</si>
  <si>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</si>
  <si>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</si>
  <si>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</si>
  <si>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</si>
  <si>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</si>
  <si>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</si>
  <si>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</si>
  <si>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</si>
  <si>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</si>
  <si>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</si>
  <si>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</si>
  <si>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</si>
  <si>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</si>
  <si>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</si>
  <si>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</si>
  <si>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</si>
  <si>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</si>
  <si>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</si>
  <si>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</si>
  <si>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</si>
  <si>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</si>
  <si>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</si>
  <si>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</si>
  <si>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</si>
  <si>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</si>
  <si>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</si>
  <si>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</si>
  <si>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</si>
  <si>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</si>
  <si>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</si>
  <si>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</si>
  <si>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</si>
  <si>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</si>
  <si>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</si>
  <si>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</si>
  <si>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</si>
  <si>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</si>
  <si>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</si>
  <si>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</si>
  <si>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</si>
  <si>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</si>
  <si>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</si>
  <si>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</si>
  <si>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</si>
  <si>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</si>
  <si>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</si>
  <si>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</si>
  <si>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</si>
  <si>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</si>
  <si>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</si>
  <si>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</si>
  <si>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</si>
  <si>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</si>
  <si>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</si>
  <si>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</si>
  <si>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</si>
  <si>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</si>
  <si>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</si>
  <si>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</si>
  <si>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</si>
  <si>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</si>
  <si>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</si>
  <si>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</si>
  <si>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</si>
  <si>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</si>
  <si>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</si>
  <si>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</si>
  <si>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</si>
  <si>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</si>
  <si>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</si>
  <si>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</si>
  <si>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</si>
  <si>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</si>
  <si>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</si>
  <si>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</si>
  <si>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</si>
  <si>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</si>
  <si>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</si>
  <si>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</si>
  <si>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</si>
  <si>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</si>
  <si>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</si>
  <si>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</si>
  <si>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</si>
  <si>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</si>
  <si>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</si>
  <si>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</si>
  <si>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</si>
  <si>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</si>
  <si>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</si>
  <si>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</si>
  <si>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</si>
  <si>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</si>
  <si>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</si>
  <si>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</si>
  <si>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</si>
  <si>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</si>
  <si>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</si>
  <si>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</si>
  <si>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</si>
  <si>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</si>
  <si>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</si>
  <si>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</si>
  <si>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</si>
  <si>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</si>
  <si>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</si>
  <si>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</si>
  <si>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</si>
  <si>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</si>
  <si>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</si>
  <si>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</si>
  <si>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</si>
  <si>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</si>
  <si>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</si>
  <si>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</si>
  <si>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</si>
  <si>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</si>
  <si>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</si>
  <si>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</si>
  <si>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</si>
  <si>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</si>
  <si>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</si>
  <si>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</si>
  <si>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</si>
  <si>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</si>
  <si>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</si>
  <si>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</si>
  <si>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</si>
  <si>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</si>
  <si>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</si>
  <si>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</si>
  <si>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</si>
  <si>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</si>
  <si>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</si>
  <si>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</si>
  <si>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</si>
  <si>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</si>
  <si>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</si>
  <si>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</si>
  <si>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</si>
  <si>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</si>
  <si>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</si>
  <si>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</si>
  <si>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</si>
  <si>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</si>
  <si>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</si>
  <si>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</si>
  <si>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</si>
  <si>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</si>
  <si>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</si>
  <si>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</si>
  <si>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</si>
  <si>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</si>
  <si>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</si>
  <si>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</si>
  <si>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</si>
  <si>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</si>
  <si>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</si>
  <si>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</si>
  <si>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</si>
  <si>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</si>
  <si>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</si>
  <si>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</si>
  <si>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</si>
  <si>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</si>
  <si>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</si>
  <si>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</si>
  <si>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</si>
  <si>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</si>
  <si>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</si>
  <si>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</si>
  <si>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</si>
  <si>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</si>
  <si>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</si>
  <si>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</si>
  <si>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</si>
  <si>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</si>
  <si>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</si>
  <si>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</si>
  <si>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</si>
  <si>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</si>
  <si>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</si>
  <si>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</si>
  <si>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</si>
  <si>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</si>
  <si>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</si>
  <si>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</si>
  <si>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</si>
  <si>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</si>
  <si>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</si>
  <si>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</si>
  <si>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</si>
  <si>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</si>
  <si>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</si>
  <si>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</si>
  <si>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</si>
  <si>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</si>
  <si>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</si>
  <si>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</si>
  <si>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</si>
  <si>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</si>
  <si>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</si>
  <si>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</si>
  <si>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</si>
  <si>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</si>
  <si>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</si>
  <si>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</si>
  <si>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</si>
  <si>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</si>
  <si>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</si>
  <si>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</si>
  <si>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</si>
  <si>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</si>
  <si>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</si>
  <si>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</si>
  <si>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</si>
  <si>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</si>
  <si>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</si>
  <si>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</si>
  <si>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</si>
  <si>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</si>
  <si>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</si>
  <si>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</si>
  <si>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</si>
  <si>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</si>
  <si>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</si>
  <si>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</si>
  <si>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</si>
  <si>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</si>
  <si>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</si>
  <si>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</si>
  <si>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</si>
  <si>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</si>
  <si>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</si>
  <si>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</si>
  <si>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</si>
  <si>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</si>
  <si>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</si>
  <si>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</si>
  <si>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</si>
  <si>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</si>
  <si>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</si>
  <si>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</si>
  <si>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</si>
  <si>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</si>
  <si>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</si>
  <si>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</si>
  <si>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</si>
  <si>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</si>
  <si>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</si>
  <si>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</si>
  <si>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</si>
  <si>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</si>
  <si>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</si>
  <si>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</si>
  <si>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</si>
  <si>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</si>
  <si>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</si>
  <si>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</si>
  <si>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</si>
  <si>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</si>
  <si>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</si>
  <si>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</si>
  <si>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</si>
  <si>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</si>
  <si>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</si>
  <si>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</si>
  <si>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</si>
  <si>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</si>
  <si>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</si>
  <si>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</si>
  <si>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</si>
  <si>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</si>
  <si>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</si>
  <si>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</si>
  <si>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</si>
  <si>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</si>
  <si>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</si>
  <si>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</si>
  <si>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</si>
  <si>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</si>
  <si>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</si>
  <si>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</si>
  <si>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</si>
  <si>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</si>
  <si>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</si>
  <si>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</si>
  <si>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</si>
  <si>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</si>
  <si>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</si>
  <si>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</si>
  <si>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</si>
  <si>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</si>
  <si>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</si>
  <si>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</si>
  <si>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</si>
  <si>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</si>
  <si>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</si>
  <si>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</si>
  <si>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</si>
  <si>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</si>
  <si>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</si>
  <si>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</si>
  <si>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</si>
  <si>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</si>
  <si>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</si>
  <si>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</si>
  <si>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</si>
  <si>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</si>
  <si>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</si>
  <si>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</si>
  <si>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</si>
  <si>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</si>
  <si>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</si>
  <si>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</si>
  <si>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</si>
  <si>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</si>
  <si>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</si>
  <si>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</si>
  <si>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</si>
  <si>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</si>
  <si>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</si>
  <si>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</si>
  <si>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</si>
  <si>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</si>
  <si>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</si>
  <si>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</si>
  <si>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</si>
  <si>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</si>
  <si>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</si>
  <si>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</si>
  <si>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</si>
  <si>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</si>
  <si>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</si>
  <si>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</si>
  <si>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</si>
  <si>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</si>
  <si>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</si>
  <si>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</si>
  <si>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</si>
  <si>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</si>
  <si>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</si>
  <si>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</si>
  <si>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</si>
  <si>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</si>
  <si>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</si>
  <si>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</si>
  <si>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</si>
  <si>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</si>
  <si>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</si>
  <si>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</si>
  <si>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</si>
  <si>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</si>
  <si>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</si>
  <si>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</si>
  <si>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</si>
  <si>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</si>
  <si>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</si>
  <si>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</si>
  <si>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</si>
  <si>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</si>
  <si>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</si>
  <si>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</si>
  <si>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</si>
  <si>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</si>
  <si>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</si>
  <si>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</si>
  <si>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</si>
  <si>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</si>
  <si>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</si>
  <si>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</si>
  <si>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</si>
  <si>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</si>
  <si>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</si>
  <si>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</si>
  <si>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</si>
  <si>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</si>
  <si>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Asteroid Belt (Epsilon AB)</t>
  </si>
  <si>
    <t>Mars (Epsilon Prime)</t>
  </si>
  <si>
    <t>Earth Cluster</t>
  </si>
  <si>
    <t>Antediluvian Ruins</t>
  </si>
  <si>
    <t>Hope's Nemsis</t>
  </si>
  <si>
    <t>10,3</t>
  </si>
  <si>
    <t>12,0</t>
  </si>
  <si>
    <t>Anacreon's Kingdom</t>
  </si>
  <si>
    <t>Sigma Cluster</t>
  </si>
  <si>
    <t>Gaian Prophecy</t>
  </si>
  <si>
    <t>Neptune (Eye of Colossus)</t>
  </si>
  <si>
    <t>Pluto (Anacreon's Kingdom)</t>
  </si>
  <si>
    <t>Oort Cloud (Sigma Cluster</t>
  </si>
  <si>
    <t>Kuiper Belt (Gaian Prophecy)</t>
  </si>
  <si>
    <t>Antediluvian Ruins (Mercury)</t>
  </si>
  <si>
    <t>Venus (Hope's Nemesis)</t>
  </si>
  <si>
    <t>Saturn (Aurora)</t>
  </si>
  <si>
    <t>Titan (Tyr Prime)</t>
  </si>
  <si>
    <t>Uranus (???)</t>
  </si>
  <si>
    <t>Tyr  Cluster</t>
  </si>
  <si>
    <t>13,14</t>
  </si>
  <si>
    <t>Proteus Prime</t>
  </si>
  <si>
    <t>Jupiter 3 (Proteus Prime)</t>
  </si>
  <si>
    <t>Jupiter 2 (Valhalla)</t>
  </si>
  <si>
    <t>Jupiter (Nikkonofune)</t>
  </si>
  <si>
    <t>Nikkonofune</t>
  </si>
  <si>
    <t>Valhalla</t>
  </si>
  <si>
    <t>Blue Horizon</t>
  </si>
  <si>
    <t>Saturn 3 (Blue Horizon)</t>
  </si>
  <si>
    <t>Saturn 2 (Soulstar)</t>
  </si>
  <si>
    <t>Soulstar</t>
  </si>
  <si>
    <t>OCA Headquarters</t>
  </si>
  <si>
    <t>Shadow's End</t>
  </si>
  <si>
    <t>Uranus 2 (Eclipse)</t>
  </si>
  <si>
    <t>Eclipse</t>
  </si>
  <si>
    <t>Mists of Artemis</t>
  </si>
  <si>
    <t>The Void</t>
  </si>
  <si>
    <t>Terran D (The Void)</t>
  </si>
  <si>
    <t>Terran C (Appallox)</t>
  </si>
  <si>
    <t>Appallox</t>
  </si>
  <si>
    <t>Lance's Dominion</t>
  </si>
  <si>
    <t>Narayan's Revenge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</si>
</sst>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3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9" borderId="2" xfId="7">
      <alignment horizontal="center" vertical="center" wrapText="1"/>
    </xf>
  </cellXfs>
  <cellStyles count="17">
    <cellStyle name="Argon" xfId="2"/>
    <cellStyle name="Bad" xfId="15" builtinId="27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hanon" xfId="16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Z36"/>
  <sheetViews>
    <sheetView showRowColHeaders="0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34</v>
      </c>
    </row>
    <row r="25" spans="1:20" ht="42" customHeight="1" thickTop="1" thickBot="1">
      <c r="B25" s="35" t="s">
        <v>624</v>
      </c>
      <c r="C25" s="13">
        <f>COUNTCCOLOR(B2:Y22,B25)</f>
        <v>29</v>
      </c>
    </row>
    <row r="26" spans="1:20" ht="42" customHeight="1" thickTop="1" thickBot="1">
      <c r="B26" s="37" t="s">
        <v>626</v>
      </c>
      <c r="C26" s="13">
        <f>COUNTCCOLOR(B2:Y22,B26)</f>
        <v>31</v>
      </c>
    </row>
    <row r="27" spans="1:20" ht="42" customHeight="1" thickTop="1" thickBot="1">
      <c r="B27" s="38" t="s">
        <v>627</v>
      </c>
      <c r="C27" s="13">
        <f>COUNTCCOLOR(B2:Y22,B27)</f>
        <v>30</v>
      </c>
    </row>
    <row r="28" spans="1:20" ht="42" customHeight="1" thickTop="1" thickBot="1">
      <c r="B28" s="41" t="s">
        <v>625</v>
      </c>
      <c r="C28" s="13">
        <f>COUNTCCOLOR(B2:Y22,B28)</f>
        <v>33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12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0</v>
      </c>
    </row>
    <row r="36" spans="2:3" ht="42" customHeight="1" thickTop="1" thickBot="1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Z36"/>
  <sheetViews>
    <sheetView showGridLines="0" showRowColHeaders="0" tabSelected="1" zoomScale="115" zoomScaleNormal="115" workbookViewId="0">
      <pane xSplit="1" ySplit="1" topLeftCell="B5" activePane="bottomRight" state="frozen"/>
      <selection activeCell="P11" sqref="P11"/>
      <selection pane="topRight" activeCell="P11" sqref="P11"/>
      <selection pane="bottomLeft" activeCell="P11" sqref="P11"/>
      <selection pane="bottomRight" activeCell="A17" sqref="A17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M2" s="167" t="s">
        <v>806</v>
      </c>
      <c r="N2" s="159" t="s">
        <v>807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M3" s="174" t="s">
        <v>805</v>
      </c>
      <c r="N3" s="191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175" t="s">
        <v>796</v>
      </c>
      <c r="N4" s="193" t="s">
        <v>218</v>
      </c>
      <c r="O4" s="193" t="s">
        <v>802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L5" s="158" t="s">
        <v>709</v>
      </c>
      <c r="M5" s="159" t="s">
        <v>797</v>
      </c>
      <c r="N5" s="228" t="s">
        <v>793</v>
      </c>
      <c r="O5" s="157" t="s">
        <v>801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93" t="s">
        <v>90</v>
      </c>
      <c r="M6" s="117" t="s">
        <v>237</v>
      </c>
      <c r="N6" s="192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819</v>
      </c>
      <c r="M13" s="167" t="s">
        <v>824</v>
      </c>
      <c r="N13" s="193" t="s">
        <v>823</v>
      </c>
      <c r="O13" s="195"/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9" t="s">
        <v>825</v>
      </c>
      <c r="M14" s="159" t="s">
        <v>828</v>
      </c>
      <c r="N14" s="167" t="s">
        <v>734</v>
      </c>
      <c r="O14" s="193" t="s">
        <v>829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830</v>
      </c>
      <c r="P15" s="166" t="s">
        <v>832</v>
      </c>
      <c r="Q15" s="166" t="s">
        <v>833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839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834</v>
      </c>
      <c r="N17" s="159" t="s">
        <v>837</v>
      </c>
      <c r="O17" s="193" t="s">
        <v>838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26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209"/>
  <sheetViews>
    <sheetView workbookViewId="0">
      <pane ySplit="2" topLeftCell="A6" activePane="bottomLeft" state="frozen"/>
      <selection activeCell="P11" sqref="P11"/>
      <selection pane="bottomLeft" activeCell="A19" sqref="A19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4" customWidth="1"/>
    <col min="8" max="8" width="13" customWidth="1"/>
  </cols>
  <sheetData>
    <row r="1" spans="1:10">
      <c r="A1">
        <f>COUNTA(H3:H301)</f>
        <v>12</v>
      </c>
      <c r="B1">
        <f>COUNTA(A3:A301)</f>
        <v>26</v>
      </c>
      <c r="C1" t="s">
        <v>265</v>
      </c>
      <c r="D1" s="18">
        <f>A1/B1</f>
        <v>0.46153846153846156</v>
      </c>
    </row>
    <row r="2" spans="1:10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4" t="s">
        <v>795</v>
      </c>
      <c r="H2" t="s">
        <v>259</v>
      </c>
    </row>
    <row r="3" spans="1:10" ht="15.75" customHeight="1" thickTop="1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4" t="s">
        <v>257</v>
      </c>
      <c r="H3" t="s">
        <v>257</v>
      </c>
      <c r="I3" s="230" t="s">
        <v>800</v>
      </c>
      <c r="J3" s="230"/>
    </row>
    <row r="4" spans="1:10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4" t="s">
        <v>257</v>
      </c>
      <c r="H4" t="s">
        <v>257</v>
      </c>
      <c r="I4" s="231"/>
      <c r="J4" s="231"/>
    </row>
    <row r="5" spans="1:10">
      <c r="A5" s="194" t="s">
        <v>812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7" t="s">
        <v>257</v>
      </c>
      <c r="H5" t="s">
        <v>257</v>
      </c>
      <c r="I5" s="231"/>
      <c r="J5" s="231"/>
    </row>
    <row r="6" spans="1:10">
      <c r="A6" t="s">
        <v>798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4" t="s">
        <v>257</v>
      </c>
      <c r="H6" t="s">
        <v>257</v>
      </c>
      <c r="I6" s="231"/>
      <c r="J6" s="231"/>
    </row>
    <row r="7" spans="1:10">
      <c r="A7" t="s">
        <v>799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4" t="s">
        <v>257</v>
      </c>
      <c r="H7" s="194" t="s">
        <v>257</v>
      </c>
      <c r="I7" s="231"/>
      <c r="J7" s="231"/>
    </row>
    <row r="8" spans="1:10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4" t="s">
        <v>257</v>
      </c>
      <c r="H8" s="194" t="s">
        <v>257</v>
      </c>
      <c r="I8" s="231"/>
      <c r="J8" s="231"/>
    </row>
    <row r="9" spans="1:10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4" t="s">
        <v>257</v>
      </c>
      <c r="H9" s="194" t="s">
        <v>257</v>
      </c>
      <c r="I9" s="231"/>
      <c r="J9" s="231"/>
    </row>
    <row r="10" spans="1:10">
      <c r="A10" s="194" t="s">
        <v>813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4" t="s">
        <v>257</v>
      </c>
      <c r="H10" s="194" t="s">
        <v>257</v>
      </c>
      <c r="I10" s="231"/>
      <c r="J10" s="231"/>
    </row>
    <row r="11" spans="1:10" s="194" customFormat="1">
      <c r="A11" s="194" t="s">
        <v>809</v>
      </c>
      <c r="B11" s="22" t="s">
        <v>415</v>
      </c>
      <c r="C11" s="22" t="s">
        <v>575</v>
      </c>
      <c r="D11" s="194" t="s">
        <v>257</v>
      </c>
      <c r="E11" s="194" t="s">
        <v>257</v>
      </c>
      <c r="F11" s="227" t="s">
        <v>257</v>
      </c>
      <c r="G11" s="227" t="s">
        <v>257</v>
      </c>
      <c r="H11" s="227" t="s">
        <v>257</v>
      </c>
      <c r="I11" s="229"/>
      <c r="J11" s="229"/>
    </row>
    <row r="12" spans="1:10" s="194" customFormat="1">
      <c r="A12" s="194" t="s">
        <v>810</v>
      </c>
      <c r="B12" s="22" t="s">
        <v>388</v>
      </c>
      <c r="C12" s="22" t="s">
        <v>607</v>
      </c>
      <c r="D12" s="194" t="s">
        <v>257</v>
      </c>
      <c r="E12" s="227" t="s">
        <v>257</v>
      </c>
      <c r="F12" s="227" t="s">
        <v>257</v>
      </c>
      <c r="G12" s="227" t="s">
        <v>257</v>
      </c>
      <c r="H12" s="227" t="s">
        <v>257</v>
      </c>
      <c r="I12" s="229"/>
      <c r="J12" s="229"/>
    </row>
    <row r="13" spans="1:10" s="194" customFormat="1">
      <c r="A13" s="194" t="s">
        <v>811</v>
      </c>
      <c r="B13" s="22" t="s">
        <v>394</v>
      </c>
      <c r="C13" s="211" t="s">
        <v>804</v>
      </c>
      <c r="D13" s="227" t="s">
        <v>257</v>
      </c>
      <c r="E13" s="227" t="s">
        <v>257</v>
      </c>
      <c r="F13" s="227" t="s">
        <v>257</v>
      </c>
      <c r="G13" s="227" t="s">
        <v>257</v>
      </c>
      <c r="H13" s="227" t="s">
        <v>257</v>
      </c>
      <c r="I13" s="229"/>
      <c r="J13" s="229"/>
    </row>
    <row r="14" spans="1:10" s="194" customFormat="1">
      <c r="A14" s="194" t="s">
        <v>808</v>
      </c>
      <c r="B14" s="22" t="s">
        <v>392</v>
      </c>
      <c r="C14" s="211" t="s">
        <v>803</v>
      </c>
      <c r="D14" s="194" t="s">
        <v>257</v>
      </c>
      <c r="E14" s="194" t="s">
        <v>257</v>
      </c>
      <c r="F14" s="227" t="s">
        <v>257</v>
      </c>
      <c r="G14" s="227" t="s">
        <v>257</v>
      </c>
      <c r="H14" s="227" t="s">
        <v>257</v>
      </c>
      <c r="I14" s="229"/>
      <c r="J14" s="229"/>
    </row>
    <row r="15" spans="1:10" s="203" customFormat="1" ht="15" customHeight="1" thickBot="1">
      <c r="B15" s="212"/>
      <c r="C15" s="212"/>
    </row>
    <row r="16" spans="1:10" ht="15.75" customHeight="1" thickTop="1">
      <c r="A16" s="194" t="s">
        <v>613</v>
      </c>
      <c r="B16" s="211" t="s">
        <v>818</v>
      </c>
      <c r="C16" s="22"/>
      <c r="G16" s="227" t="s">
        <v>257</v>
      </c>
      <c r="H16" s="227"/>
      <c r="I16" s="232" t="s">
        <v>817</v>
      </c>
      <c r="J16" s="233"/>
    </row>
    <row r="17" spans="1:10">
      <c r="A17" s="194" t="s">
        <v>612</v>
      </c>
      <c r="B17" s="211" t="s">
        <v>474</v>
      </c>
      <c r="C17" s="22"/>
      <c r="G17" s="227" t="s">
        <v>257</v>
      </c>
      <c r="H17" s="227"/>
      <c r="I17" s="234"/>
      <c r="J17" s="235"/>
    </row>
    <row r="18" spans="1:10">
      <c r="A18" s="194" t="s">
        <v>835</v>
      </c>
      <c r="B18" s="211" t="s">
        <v>470</v>
      </c>
      <c r="C18" s="22"/>
      <c r="G18" s="227" t="s">
        <v>257</v>
      </c>
      <c r="H18" s="227"/>
      <c r="I18" s="234"/>
      <c r="J18" s="235"/>
    </row>
    <row r="19" spans="1:10">
      <c r="A19" s="194" t="s">
        <v>836</v>
      </c>
      <c r="B19" s="211" t="s">
        <v>472</v>
      </c>
      <c r="C19" s="22"/>
      <c r="G19" s="227" t="s">
        <v>257</v>
      </c>
      <c r="H19" s="227"/>
      <c r="I19" s="234"/>
      <c r="J19" s="235"/>
    </row>
    <row r="20" spans="1:10" s="194" customFormat="1">
      <c r="A20" s="194" t="s">
        <v>822</v>
      </c>
      <c r="B20" s="22" t="s">
        <v>786</v>
      </c>
      <c r="C20" s="211"/>
      <c r="D20" s="194" t="s">
        <v>257</v>
      </c>
      <c r="E20" s="194" t="s">
        <v>257</v>
      </c>
      <c r="F20" s="227" t="s">
        <v>257</v>
      </c>
      <c r="G20" s="227" t="s">
        <v>257</v>
      </c>
      <c r="H20" s="227"/>
      <c r="I20" s="234"/>
      <c r="J20" s="235"/>
    </row>
    <row r="21" spans="1:10" s="194" customFormat="1">
      <c r="A21" s="194" t="s">
        <v>814</v>
      </c>
      <c r="B21" s="22" t="s">
        <v>489</v>
      </c>
      <c r="C21" s="211"/>
      <c r="D21" s="194" t="s">
        <v>257</v>
      </c>
      <c r="E21" s="194" t="s">
        <v>257</v>
      </c>
      <c r="F21" s="227" t="s">
        <v>257</v>
      </c>
      <c r="G21" s="227" t="s">
        <v>257</v>
      </c>
      <c r="H21" s="227"/>
      <c r="I21" s="234"/>
      <c r="J21" s="235"/>
    </row>
    <row r="22" spans="1:10" s="194" customFormat="1">
      <c r="A22" s="194" t="s">
        <v>815</v>
      </c>
      <c r="B22" s="22" t="s">
        <v>787</v>
      </c>
      <c r="C22" s="211"/>
      <c r="D22" s="194" t="s">
        <v>257</v>
      </c>
      <c r="E22" s="194" t="s">
        <v>257</v>
      </c>
      <c r="F22" s="227" t="s">
        <v>257</v>
      </c>
      <c r="G22" s="227" t="s">
        <v>257</v>
      </c>
      <c r="H22" s="227"/>
      <c r="I22" s="234"/>
      <c r="J22" s="235"/>
    </row>
    <row r="23" spans="1:10">
      <c r="A23" s="194" t="s">
        <v>821</v>
      </c>
      <c r="B23" s="22" t="s">
        <v>788</v>
      </c>
      <c r="C23" s="22"/>
      <c r="D23" s="194" t="s">
        <v>257</v>
      </c>
      <c r="E23" s="194" t="s">
        <v>257</v>
      </c>
      <c r="F23" s="227" t="s">
        <v>257</v>
      </c>
      <c r="G23" s="227" t="s">
        <v>257</v>
      </c>
      <c r="H23" s="227"/>
      <c r="I23" s="234"/>
      <c r="J23" s="235"/>
    </row>
    <row r="24" spans="1:10">
      <c r="A24" s="194" t="s">
        <v>820</v>
      </c>
      <c r="B24" s="22" t="s">
        <v>789</v>
      </c>
      <c r="C24" s="22"/>
      <c r="D24" s="227" t="s">
        <v>257</v>
      </c>
      <c r="E24" s="194" t="s">
        <v>257</v>
      </c>
      <c r="F24" s="227" t="s">
        <v>257</v>
      </c>
      <c r="G24" s="227" t="s">
        <v>257</v>
      </c>
      <c r="H24" s="227"/>
      <c r="I24" s="234"/>
      <c r="J24" s="235"/>
    </row>
    <row r="25" spans="1:10">
      <c r="A25" s="194" t="s">
        <v>827</v>
      </c>
      <c r="B25" s="22" t="s">
        <v>488</v>
      </c>
      <c r="C25" s="22"/>
      <c r="D25" s="194" t="s">
        <v>257</v>
      </c>
      <c r="E25" s="227" t="s">
        <v>257</v>
      </c>
      <c r="F25" s="227" t="s">
        <v>257</v>
      </c>
      <c r="G25" s="227" t="s">
        <v>257</v>
      </c>
      <c r="H25" s="227"/>
      <c r="I25" s="234"/>
      <c r="J25" s="235"/>
    </row>
    <row r="26" spans="1:10">
      <c r="A26" s="27" t="s">
        <v>826</v>
      </c>
      <c r="B26" s="22" t="s">
        <v>487</v>
      </c>
      <c r="C26" s="22"/>
      <c r="D26" s="194" t="s">
        <v>257</v>
      </c>
      <c r="E26" s="227" t="s">
        <v>257</v>
      </c>
      <c r="F26" s="227" t="s">
        <v>257</v>
      </c>
      <c r="G26" s="227" t="s">
        <v>257</v>
      </c>
      <c r="H26" s="227"/>
      <c r="I26" s="234"/>
      <c r="J26" s="235"/>
    </row>
    <row r="27" spans="1:10" s="194" customFormat="1">
      <c r="A27" s="194" t="s">
        <v>816</v>
      </c>
      <c r="B27" s="22" t="s">
        <v>790</v>
      </c>
      <c r="C27" s="211"/>
      <c r="D27" s="194" t="s">
        <v>257</v>
      </c>
      <c r="G27" s="227" t="s">
        <v>257</v>
      </c>
      <c r="H27" s="227"/>
      <c r="I27" s="234"/>
      <c r="J27" s="235"/>
    </row>
    <row r="28" spans="1:10" s="194" customFormat="1">
      <c r="A28" s="194" t="s">
        <v>831</v>
      </c>
      <c r="B28" s="22" t="s">
        <v>791</v>
      </c>
      <c r="C28" s="211"/>
      <c r="D28" s="194" t="s">
        <v>257</v>
      </c>
      <c r="G28" s="227" t="s">
        <v>257</v>
      </c>
      <c r="H28" s="227"/>
      <c r="I28" s="234"/>
      <c r="J28" s="235"/>
    </row>
    <row r="29" spans="1:10" s="194" customFormat="1">
      <c r="A29" s="194" t="s">
        <v>620</v>
      </c>
      <c r="B29" s="22" t="s">
        <v>792</v>
      </c>
      <c r="C29" s="211"/>
      <c r="D29" s="227" t="s">
        <v>257</v>
      </c>
      <c r="G29" s="227" t="s">
        <v>257</v>
      </c>
      <c r="H29" s="227"/>
      <c r="I29" s="234"/>
      <c r="J29" s="235"/>
    </row>
    <row r="30" spans="1:10" s="203" customFormat="1">
      <c r="B30" s="212"/>
      <c r="C30" s="212"/>
    </row>
    <row r="31" spans="1:10">
      <c r="B31" s="22"/>
      <c r="C31" s="22"/>
    </row>
    <row r="32" spans="1:10">
      <c r="B32" s="22"/>
      <c r="C32" s="22"/>
    </row>
    <row r="33" spans="2:3">
      <c r="B33" s="22"/>
      <c r="C33" s="22"/>
    </row>
    <row r="34" spans="2:3">
      <c r="B34" s="22"/>
      <c r="C34" s="22"/>
    </row>
    <row r="35" spans="2:3">
      <c r="B35" s="22"/>
      <c r="C35" s="22"/>
    </row>
    <row r="36" spans="2:3">
      <c r="B36" s="22"/>
      <c r="C36" s="22"/>
    </row>
    <row r="37" spans="2:3">
      <c r="B37" s="22"/>
      <c r="C37" s="22"/>
    </row>
    <row r="38" spans="2:3">
      <c r="B38" s="22"/>
      <c r="C38" s="22"/>
    </row>
    <row r="39" spans="2:3">
      <c r="B39" s="22"/>
      <c r="C39" s="22"/>
    </row>
    <row r="40" spans="2:3">
      <c r="B40" s="22"/>
      <c r="C40" s="22"/>
    </row>
    <row r="41" spans="2:3">
      <c r="B41" s="22"/>
      <c r="C41" s="22"/>
    </row>
    <row r="42" spans="2:3">
      <c r="B42" s="22"/>
      <c r="C42" s="22"/>
    </row>
    <row r="43" spans="2:3">
      <c r="B43" s="22"/>
      <c r="C43" s="22"/>
    </row>
    <row r="44" spans="2:3">
      <c r="B44" s="22"/>
      <c r="C44" s="22"/>
    </row>
    <row r="45" spans="2:3">
      <c r="B45" s="22"/>
      <c r="C45" s="22"/>
    </row>
    <row r="46" spans="2:3">
      <c r="B46" s="22"/>
      <c r="C46" s="22"/>
    </row>
    <row r="47" spans="2:3">
      <c r="B47" s="22"/>
      <c r="C47" s="22"/>
    </row>
    <row r="48" spans="2:3">
      <c r="B48" s="22"/>
      <c r="C48" s="22"/>
    </row>
    <row r="49" spans="2:3">
      <c r="B49" s="22"/>
      <c r="C49" s="22"/>
    </row>
    <row r="50" spans="2:3">
      <c r="B50" s="22"/>
      <c r="C50" s="22"/>
    </row>
    <row r="51" spans="2:3">
      <c r="B51" s="22"/>
      <c r="C51" s="22"/>
    </row>
    <row r="52" spans="2:3">
      <c r="B52" s="22"/>
      <c r="C52" s="22"/>
    </row>
    <row r="53" spans="2:3">
      <c r="B53" s="22"/>
      <c r="C53" s="22"/>
    </row>
    <row r="54" spans="2:3">
      <c r="B54" s="22"/>
      <c r="C54" s="22"/>
    </row>
    <row r="55" spans="2:3">
      <c r="B55" s="22"/>
      <c r="C55" s="22"/>
    </row>
    <row r="56" spans="2:3">
      <c r="B56" s="22"/>
      <c r="C56" s="22"/>
    </row>
    <row r="57" spans="2:3">
      <c r="B57" s="22"/>
      <c r="C57" s="22"/>
    </row>
    <row r="58" spans="2:3">
      <c r="B58" s="22"/>
      <c r="C58" s="22"/>
    </row>
    <row r="59" spans="2:3">
      <c r="B59" s="22"/>
      <c r="C59" s="22"/>
    </row>
    <row r="60" spans="2:3">
      <c r="B60" s="22"/>
      <c r="C60" s="22"/>
    </row>
    <row r="61" spans="2:3">
      <c r="B61" s="22"/>
      <c r="C61" s="22"/>
    </row>
    <row r="62" spans="2:3">
      <c r="B62" s="22"/>
      <c r="C62" s="22"/>
    </row>
    <row r="63" spans="2:3">
      <c r="B63" s="22"/>
      <c r="C63" s="22"/>
    </row>
    <row r="64" spans="2:3">
      <c r="B64" s="22"/>
      <c r="C64" s="22"/>
    </row>
    <row r="65" spans="2:3">
      <c r="B65" s="22"/>
      <c r="C65" s="22"/>
    </row>
    <row r="66" spans="2:3">
      <c r="B66" s="22"/>
      <c r="C66" s="22"/>
    </row>
    <row r="67" spans="2:3">
      <c r="B67" s="22"/>
      <c r="C67" s="22"/>
    </row>
    <row r="68" spans="2:3">
      <c r="B68" s="22"/>
      <c r="C68" s="22"/>
    </row>
    <row r="69" spans="2:3">
      <c r="B69" s="22"/>
      <c r="C69" s="22"/>
    </row>
    <row r="70" spans="2:3">
      <c r="B70" s="22"/>
      <c r="C70" s="22"/>
    </row>
    <row r="71" spans="2:3">
      <c r="B71" s="22"/>
      <c r="C71" s="22"/>
    </row>
    <row r="72" spans="2:3">
      <c r="B72" s="22"/>
      <c r="C72" s="22"/>
    </row>
    <row r="73" spans="2:3">
      <c r="B73" s="22"/>
      <c r="C73" s="22"/>
    </row>
    <row r="74" spans="2:3">
      <c r="B74" s="22"/>
      <c r="C74" s="22"/>
    </row>
    <row r="75" spans="2:3">
      <c r="B75" s="22"/>
      <c r="C75" s="22"/>
    </row>
    <row r="76" spans="2:3">
      <c r="B76" s="22"/>
      <c r="C76" s="22"/>
    </row>
    <row r="77" spans="2:3">
      <c r="B77" s="22"/>
      <c r="C77" s="22"/>
    </row>
    <row r="78" spans="2:3">
      <c r="B78" s="22"/>
      <c r="C78" s="22"/>
    </row>
    <row r="79" spans="2:3">
      <c r="B79" s="22"/>
      <c r="C79" s="22"/>
    </row>
    <row r="80" spans="2:3">
      <c r="B80" s="22"/>
      <c r="C80" s="22"/>
    </row>
    <row r="81" spans="2:3">
      <c r="B81" s="22"/>
      <c r="C81" s="22"/>
    </row>
    <row r="82" spans="2:3">
      <c r="B82" s="22"/>
      <c r="C82" s="22"/>
    </row>
    <row r="83" spans="2:3">
      <c r="B83" s="22"/>
      <c r="C83" s="22"/>
    </row>
    <row r="84" spans="2:3">
      <c r="B84" s="22"/>
      <c r="C84" s="22"/>
    </row>
    <row r="85" spans="2:3">
      <c r="B85" s="22"/>
      <c r="C85" s="22"/>
    </row>
    <row r="86" spans="2:3">
      <c r="B86" s="22"/>
      <c r="C86" s="22"/>
    </row>
    <row r="87" spans="2:3">
      <c r="B87" s="22"/>
      <c r="C87" s="22"/>
    </row>
    <row r="88" spans="2:3">
      <c r="B88" s="22"/>
      <c r="C88" s="22"/>
    </row>
    <row r="89" spans="2:3">
      <c r="B89" s="22"/>
      <c r="C89" s="22"/>
    </row>
    <row r="90" spans="2:3">
      <c r="B90" s="22"/>
      <c r="C90" s="22"/>
    </row>
    <row r="91" spans="2:3">
      <c r="B91" s="22"/>
      <c r="C91" s="22"/>
    </row>
    <row r="92" spans="2:3">
      <c r="B92" s="22"/>
      <c r="C92" s="22"/>
    </row>
    <row r="93" spans="2:3">
      <c r="B93" s="22"/>
      <c r="C93" s="22"/>
    </row>
    <row r="94" spans="2:3">
      <c r="B94" s="22"/>
      <c r="C94" s="22"/>
    </row>
    <row r="95" spans="2:3">
      <c r="B95" s="22"/>
      <c r="C95" s="22"/>
    </row>
    <row r="96" spans="2:3">
      <c r="B96" s="22"/>
      <c r="C96" s="22"/>
    </row>
    <row r="97" spans="2:3">
      <c r="B97" s="22"/>
      <c r="C97" s="22"/>
    </row>
    <row r="98" spans="2:3">
      <c r="B98" s="22"/>
      <c r="C98" s="22"/>
    </row>
    <row r="99" spans="2:3">
      <c r="B99" s="22"/>
      <c r="C99" s="22"/>
    </row>
    <row r="100" spans="2:3">
      <c r="B100" s="22"/>
      <c r="C100" s="22"/>
    </row>
    <row r="101" spans="2:3">
      <c r="B101" s="22"/>
      <c r="C101" s="22"/>
    </row>
    <row r="102" spans="2:3">
      <c r="B102" s="22"/>
      <c r="C102" s="22"/>
    </row>
    <row r="103" spans="2:3">
      <c r="B103" s="22"/>
      <c r="C103" s="22"/>
    </row>
    <row r="104" spans="2:3">
      <c r="B104" s="22"/>
      <c r="C104" s="22"/>
    </row>
    <row r="105" spans="2:3">
      <c r="B105" s="22"/>
      <c r="C105" s="22"/>
    </row>
    <row r="106" spans="2:3">
      <c r="B106" s="22"/>
      <c r="C106" s="22"/>
    </row>
    <row r="107" spans="2:3">
      <c r="B107" s="22"/>
      <c r="C107" s="22"/>
    </row>
    <row r="108" spans="2:3">
      <c r="B108" s="22"/>
      <c r="C108" s="22"/>
    </row>
    <row r="109" spans="2:3">
      <c r="B109" s="22"/>
      <c r="C109" s="22"/>
    </row>
    <row r="110" spans="2:3">
      <c r="B110" s="22"/>
      <c r="C110" s="22"/>
    </row>
    <row r="111" spans="2:3">
      <c r="B111" s="22"/>
      <c r="C111" s="22"/>
    </row>
    <row r="112" spans="2:3">
      <c r="B112" s="22"/>
      <c r="C112" s="22"/>
    </row>
    <row r="113" spans="2:3">
      <c r="B113" s="22"/>
      <c r="C113" s="22"/>
    </row>
    <row r="114" spans="2:3">
      <c r="B114" s="22"/>
      <c r="C114" s="22"/>
    </row>
    <row r="115" spans="2:3">
      <c r="B115" s="22"/>
      <c r="C115" s="22"/>
    </row>
    <row r="116" spans="2:3">
      <c r="B116" s="22"/>
      <c r="C116" s="22"/>
    </row>
    <row r="117" spans="2:3">
      <c r="B117" s="22"/>
      <c r="C117" s="22"/>
    </row>
    <row r="118" spans="2:3">
      <c r="B118" s="22"/>
      <c r="C118" s="22"/>
    </row>
    <row r="119" spans="2:3">
      <c r="B119" s="22"/>
      <c r="C119" s="22"/>
    </row>
    <row r="120" spans="2:3">
      <c r="B120" s="22"/>
      <c r="C120" s="22"/>
    </row>
    <row r="121" spans="2:3">
      <c r="B121" s="22"/>
      <c r="C121" s="22"/>
    </row>
    <row r="122" spans="2:3">
      <c r="B122" s="22"/>
      <c r="C122" s="22"/>
    </row>
    <row r="123" spans="2:3">
      <c r="B123" s="22"/>
      <c r="C123" s="22"/>
    </row>
    <row r="124" spans="2:3">
      <c r="B124" s="22"/>
      <c r="C124" s="22"/>
    </row>
    <row r="125" spans="2:3">
      <c r="B125" s="22"/>
      <c r="C125" s="22"/>
    </row>
    <row r="126" spans="2:3">
      <c r="B126" s="22"/>
      <c r="C126" s="22"/>
    </row>
    <row r="127" spans="2:3">
      <c r="B127" s="22"/>
      <c r="C127" s="22"/>
    </row>
    <row r="128" spans="2:3">
      <c r="B128" s="22"/>
      <c r="C128" s="22"/>
    </row>
    <row r="129" spans="2:3">
      <c r="B129" s="22"/>
      <c r="C129" s="22"/>
    </row>
    <row r="130" spans="2:3">
      <c r="B130" s="22"/>
      <c r="C130" s="22"/>
    </row>
    <row r="131" spans="2:3">
      <c r="B131" s="22"/>
      <c r="C131" s="22"/>
    </row>
    <row r="132" spans="2:3">
      <c r="B132" s="22"/>
      <c r="C132" s="22"/>
    </row>
    <row r="133" spans="2:3">
      <c r="B133" s="22"/>
      <c r="C133" s="22"/>
    </row>
    <row r="134" spans="2:3">
      <c r="B134" s="22"/>
      <c r="C134" s="22"/>
    </row>
    <row r="135" spans="2:3">
      <c r="B135" s="22"/>
      <c r="C135" s="22"/>
    </row>
    <row r="136" spans="2:3">
      <c r="B136" s="22"/>
      <c r="C136" s="22"/>
    </row>
    <row r="137" spans="2:3">
      <c r="B137" s="22"/>
      <c r="C137" s="22"/>
    </row>
    <row r="138" spans="2:3">
      <c r="B138" s="22"/>
      <c r="C138" s="22"/>
    </row>
    <row r="139" spans="2:3">
      <c r="B139" s="22"/>
      <c r="C139" s="22"/>
    </row>
    <row r="140" spans="2:3">
      <c r="B140" s="22"/>
      <c r="C140" s="22"/>
    </row>
    <row r="141" spans="2:3">
      <c r="B141" s="22"/>
      <c r="C141" s="22"/>
    </row>
    <row r="142" spans="2:3">
      <c r="B142" s="22"/>
      <c r="C142" s="22"/>
    </row>
    <row r="143" spans="2:3">
      <c r="B143" s="22"/>
      <c r="C143" s="22"/>
    </row>
    <row r="144" spans="2:3">
      <c r="B144" s="22"/>
      <c r="C144" s="22"/>
    </row>
    <row r="145" spans="2:3">
      <c r="B145" s="22"/>
      <c r="C145" s="22"/>
    </row>
    <row r="146" spans="2:3">
      <c r="B146" s="22"/>
      <c r="C146" s="22"/>
    </row>
    <row r="147" spans="2:3">
      <c r="B147" s="22"/>
      <c r="C147" s="22"/>
    </row>
    <row r="148" spans="2:3">
      <c r="B148" s="22"/>
      <c r="C148" s="22"/>
    </row>
    <row r="149" spans="2:3">
      <c r="B149" s="22"/>
      <c r="C149" s="22"/>
    </row>
    <row r="150" spans="2:3">
      <c r="B150" s="22"/>
      <c r="C150" s="22"/>
    </row>
    <row r="151" spans="2:3">
      <c r="B151" s="22"/>
      <c r="C151" s="22"/>
    </row>
    <row r="152" spans="2:3">
      <c r="B152" s="22"/>
      <c r="C152" s="22"/>
    </row>
    <row r="153" spans="2:3">
      <c r="B153" s="22"/>
      <c r="C153" s="22"/>
    </row>
    <row r="154" spans="2:3">
      <c r="B154" s="22"/>
      <c r="C154" s="22"/>
    </row>
    <row r="155" spans="2:3">
      <c r="B155" s="22"/>
      <c r="C155" s="22"/>
    </row>
    <row r="156" spans="2:3">
      <c r="B156" s="22"/>
      <c r="C156" s="22"/>
    </row>
    <row r="157" spans="2:3">
      <c r="B157" s="22"/>
      <c r="C157" s="22"/>
    </row>
    <row r="158" spans="2:3">
      <c r="B158" s="22"/>
      <c r="C158" s="22"/>
    </row>
    <row r="159" spans="2:3">
      <c r="B159" s="22"/>
      <c r="C159" s="22"/>
    </row>
    <row r="160" spans="2:3">
      <c r="B160" s="22"/>
      <c r="C160" s="22"/>
    </row>
    <row r="161" spans="2:3">
      <c r="B161" s="22"/>
      <c r="C161" s="22"/>
    </row>
    <row r="162" spans="2:3">
      <c r="B162" s="22"/>
      <c r="C162" s="22"/>
    </row>
    <row r="163" spans="2:3">
      <c r="B163" s="22"/>
      <c r="C163" s="22"/>
    </row>
    <row r="164" spans="2:3">
      <c r="B164" s="22"/>
      <c r="C164" s="22"/>
    </row>
    <row r="165" spans="2:3">
      <c r="B165" s="22"/>
      <c r="C165" s="22"/>
    </row>
    <row r="166" spans="2:3">
      <c r="B166" s="22"/>
      <c r="C166" s="22"/>
    </row>
    <row r="167" spans="2:3">
      <c r="B167" s="22"/>
      <c r="C167" s="22"/>
    </row>
    <row r="168" spans="2:3">
      <c r="B168" s="22"/>
      <c r="C168" s="22"/>
    </row>
    <row r="169" spans="2:3">
      <c r="B169" s="22"/>
      <c r="C169" s="22"/>
    </row>
    <row r="170" spans="2:3">
      <c r="B170" s="22"/>
      <c r="C170" s="22"/>
    </row>
    <row r="171" spans="2:3">
      <c r="B171" s="22"/>
      <c r="C171" s="22"/>
    </row>
    <row r="172" spans="2:3">
      <c r="B172" s="22"/>
      <c r="C172" s="22"/>
    </row>
    <row r="173" spans="2:3">
      <c r="B173" s="22"/>
      <c r="C173" s="22"/>
    </row>
    <row r="174" spans="2:3">
      <c r="B174" s="22"/>
      <c r="C174" s="22"/>
    </row>
    <row r="175" spans="2:3">
      <c r="B175" s="22"/>
      <c r="C175" s="22"/>
    </row>
    <row r="176" spans="2:3">
      <c r="B176" s="22"/>
      <c r="C176" s="22"/>
    </row>
    <row r="177" spans="2:3">
      <c r="B177" s="22"/>
      <c r="C177" s="22"/>
    </row>
    <row r="178" spans="2:3">
      <c r="B178" s="22"/>
      <c r="C178" s="22"/>
    </row>
    <row r="179" spans="2:3">
      <c r="B179" s="22"/>
      <c r="C179" s="22"/>
    </row>
    <row r="180" spans="2:3">
      <c r="B180" s="22"/>
      <c r="C180" s="22"/>
    </row>
    <row r="181" spans="2:3">
      <c r="B181" s="22"/>
      <c r="C181" s="22"/>
    </row>
    <row r="182" spans="2:3">
      <c r="B182" s="22"/>
      <c r="C182" s="22"/>
    </row>
    <row r="183" spans="2:3">
      <c r="B183" s="22"/>
      <c r="C183" s="22"/>
    </row>
    <row r="184" spans="2:3">
      <c r="B184" s="22"/>
      <c r="C184" s="22"/>
    </row>
    <row r="185" spans="2:3">
      <c r="B185" s="22"/>
      <c r="C185" s="22"/>
    </row>
    <row r="186" spans="2:3">
      <c r="B186" s="22"/>
      <c r="C186" s="22"/>
    </row>
    <row r="187" spans="2:3">
      <c r="B187" s="22"/>
      <c r="C187" s="22"/>
    </row>
    <row r="188" spans="2:3">
      <c r="B188" s="22"/>
      <c r="C188" s="22"/>
    </row>
    <row r="189" spans="2:3">
      <c r="B189" s="22"/>
      <c r="C189" s="22"/>
    </row>
    <row r="190" spans="2:3">
      <c r="B190" s="22"/>
      <c r="C190" s="22"/>
    </row>
    <row r="191" spans="2:3">
      <c r="B191" s="22"/>
      <c r="C191" s="22"/>
    </row>
    <row r="192" spans="2:3">
      <c r="B192" s="22"/>
      <c r="C192" s="22"/>
    </row>
    <row r="193" spans="2:3">
      <c r="B193" s="22"/>
      <c r="C193" s="22"/>
    </row>
    <row r="194" spans="2:3">
      <c r="B194" s="22"/>
      <c r="C194" s="22"/>
    </row>
    <row r="195" spans="2:3">
      <c r="B195" s="22"/>
      <c r="C195" s="22"/>
    </row>
    <row r="196" spans="2:3">
      <c r="B196" s="22"/>
      <c r="C196" s="22"/>
    </row>
    <row r="197" spans="2:3">
      <c r="B197" s="22"/>
      <c r="C197" s="22"/>
    </row>
    <row r="198" spans="2:3">
      <c r="B198" s="22"/>
      <c r="C198" s="22"/>
    </row>
    <row r="199" spans="2:3">
      <c r="B199" s="22"/>
      <c r="C199" s="22"/>
    </row>
    <row r="200" spans="2:3">
      <c r="B200" s="22"/>
      <c r="C200" s="22"/>
    </row>
    <row r="201" spans="2:3">
      <c r="B201" s="22"/>
      <c r="C201" s="22"/>
    </row>
    <row r="202" spans="2:3">
      <c r="B202" s="22"/>
      <c r="C202" s="22"/>
    </row>
    <row r="203" spans="2:3">
      <c r="B203" s="22"/>
      <c r="C203" s="22"/>
    </row>
    <row r="204" spans="2:3">
      <c r="B204" s="22"/>
      <c r="C204" s="22"/>
    </row>
    <row r="205" spans="2:3">
      <c r="B205" s="22"/>
      <c r="C205" s="22"/>
    </row>
    <row r="206" spans="2:3">
      <c r="B206" s="22"/>
      <c r="C206" s="22"/>
    </row>
    <row r="207" spans="2:3">
      <c r="B207" s="22"/>
      <c r="C207" s="22"/>
    </row>
    <row r="208" spans="2:3">
      <c r="B208" s="22"/>
      <c r="C208" s="22"/>
    </row>
    <row r="209" spans="3:3">
      <c r="C209" s="22"/>
    </row>
  </sheetData>
  <mergeCells count="2">
    <mergeCell ref="I3:J10"/>
    <mergeCell ref="I16:J2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zoomScale="90" zoomScaleNormal="90" workbookViewId="0">
      <pane xSplit="1" ySplit="1" topLeftCell="B8" activePane="bottomRight" state="frozen"/>
      <selection activeCell="P11" sqref="P11"/>
      <selection pane="topRight" activeCell="P11" sqref="P11"/>
      <selection pane="bottomLeft" activeCell="P11" sqref="P11"/>
      <selection pane="bottomRight" activeCell="E10" sqref="E10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219" t="s">
        <v>704</v>
      </c>
      <c r="C2" s="219" t="s">
        <v>705</v>
      </c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225" t="s">
        <v>706</v>
      </c>
      <c r="S2" s="225" t="s">
        <v>707</v>
      </c>
      <c r="T2" s="194"/>
      <c r="U2" s="194"/>
      <c r="V2" s="209" t="s">
        <v>238</v>
      </c>
      <c r="W2" s="204" t="s">
        <v>239</v>
      </c>
      <c r="X2" s="194"/>
      <c r="Y2" s="194"/>
    </row>
    <row r="3" spans="1:25" ht="42" customHeight="1" thickTop="1" thickBot="1">
      <c r="A3" s="6">
        <v>1</v>
      </c>
      <c r="B3" s="219" t="s">
        <v>708</v>
      </c>
      <c r="C3" s="219" t="s">
        <v>709</v>
      </c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210" t="s">
        <v>142</v>
      </c>
      <c r="S3" s="210" t="s">
        <v>143</v>
      </c>
      <c r="T3" s="194"/>
      <c r="U3" s="194"/>
      <c r="V3" s="194"/>
      <c r="W3" s="213" t="s">
        <v>240</v>
      </c>
      <c r="X3" s="210" t="s">
        <v>241</v>
      </c>
      <c r="Y3" s="194"/>
    </row>
    <row r="4" spans="1:25" ht="42" customHeight="1" thickTop="1" thickBot="1">
      <c r="A4" s="6">
        <v>2</v>
      </c>
      <c r="B4" s="220" t="s">
        <v>710</v>
      </c>
      <c r="C4" s="219" t="s">
        <v>711</v>
      </c>
      <c r="D4" s="223" t="s">
        <v>231</v>
      </c>
      <c r="E4" s="223" t="s">
        <v>230</v>
      </c>
      <c r="F4" s="223" t="s">
        <v>229</v>
      </c>
      <c r="G4" s="223" t="s">
        <v>225</v>
      </c>
      <c r="H4" s="223" t="s">
        <v>216</v>
      </c>
      <c r="I4" s="223" t="s">
        <v>224</v>
      </c>
      <c r="J4" s="194"/>
      <c r="K4" s="194"/>
      <c r="L4" s="194"/>
      <c r="M4" s="210" t="s">
        <v>134</v>
      </c>
      <c r="N4" s="210" t="s">
        <v>135</v>
      </c>
      <c r="O4" s="210" t="s">
        <v>139</v>
      </c>
      <c r="P4" s="214" t="s">
        <v>251</v>
      </c>
      <c r="Q4" s="194"/>
      <c r="R4" s="213" t="s">
        <v>180</v>
      </c>
      <c r="S4" s="213" t="s">
        <v>193</v>
      </c>
      <c r="T4" s="204" t="s">
        <v>34</v>
      </c>
      <c r="U4" s="204" t="s">
        <v>249</v>
      </c>
      <c r="V4" s="194"/>
      <c r="W4" s="205" t="s">
        <v>243</v>
      </c>
      <c r="X4" s="206" t="s">
        <v>242</v>
      </c>
      <c r="Y4" s="194"/>
    </row>
    <row r="5" spans="1:25" ht="42" customHeight="1" thickTop="1" thickBot="1">
      <c r="A5" s="6">
        <v>3</v>
      </c>
      <c r="B5" s="220" t="s">
        <v>712</v>
      </c>
      <c r="C5" s="206" t="s">
        <v>14</v>
      </c>
      <c r="D5" s="206" t="s">
        <v>175</v>
      </c>
      <c r="E5" s="223" t="s">
        <v>232</v>
      </c>
      <c r="F5" s="223" t="s">
        <v>218</v>
      </c>
      <c r="G5" s="223" t="s">
        <v>213</v>
      </c>
      <c r="H5" s="223" t="s">
        <v>214</v>
      </c>
      <c r="I5" s="206" t="s">
        <v>166</v>
      </c>
      <c r="J5" s="206" t="s">
        <v>174</v>
      </c>
      <c r="K5" s="194"/>
      <c r="L5" s="194"/>
      <c r="M5" s="210" t="s">
        <v>45</v>
      </c>
      <c r="N5" s="210" t="s">
        <v>46</v>
      </c>
      <c r="O5" s="210" t="s">
        <v>47</v>
      </c>
      <c r="P5" s="214" t="s">
        <v>154</v>
      </c>
      <c r="Q5" s="207" t="s">
        <v>113</v>
      </c>
      <c r="R5" s="213" t="s">
        <v>194</v>
      </c>
      <c r="S5" s="209" t="s">
        <v>95</v>
      </c>
      <c r="T5" s="210" t="s">
        <v>48</v>
      </c>
      <c r="U5" s="205" t="s">
        <v>248</v>
      </c>
      <c r="V5" s="206" t="s">
        <v>247</v>
      </c>
      <c r="W5" s="204" t="s">
        <v>244</v>
      </c>
      <c r="X5" s="194"/>
      <c r="Y5" s="194"/>
    </row>
    <row r="6" spans="1:25" ht="42" customHeight="1" thickTop="1" thickBot="1">
      <c r="A6" s="6">
        <v>4</v>
      </c>
      <c r="B6" s="221" t="s">
        <v>713</v>
      </c>
      <c r="C6" s="207" t="s">
        <v>106</v>
      </c>
      <c r="D6" s="206" t="s">
        <v>71</v>
      </c>
      <c r="E6" s="224" t="s">
        <v>714</v>
      </c>
      <c r="F6" s="223" t="s">
        <v>223</v>
      </c>
      <c r="G6" s="223" t="s">
        <v>217</v>
      </c>
      <c r="H6" s="223" t="s">
        <v>215</v>
      </c>
      <c r="I6" s="206" t="s">
        <v>165</v>
      </c>
      <c r="J6" s="206" t="s">
        <v>211</v>
      </c>
      <c r="K6" s="206" t="s">
        <v>210</v>
      </c>
      <c r="L6" s="210" t="s">
        <v>144</v>
      </c>
      <c r="M6" s="210" t="s">
        <v>140</v>
      </c>
      <c r="N6" s="210" t="s">
        <v>141</v>
      </c>
      <c r="O6" s="213" t="s">
        <v>5</v>
      </c>
      <c r="P6" s="213" t="s">
        <v>6</v>
      </c>
      <c r="Q6" s="226" t="s">
        <v>715</v>
      </c>
      <c r="R6" s="226" t="s">
        <v>716</v>
      </c>
      <c r="S6" s="207" t="s">
        <v>99</v>
      </c>
      <c r="T6" s="210" t="s">
        <v>54</v>
      </c>
      <c r="U6" s="225" t="s">
        <v>717</v>
      </c>
      <c r="V6" s="210" t="s">
        <v>246</v>
      </c>
      <c r="W6" s="213" t="s">
        <v>245</v>
      </c>
      <c r="X6" s="194"/>
      <c r="Y6" s="194"/>
    </row>
    <row r="7" spans="1:25" ht="42" customHeight="1" thickTop="1" thickBot="1">
      <c r="A7" s="6">
        <v>5</v>
      </c>
      <c r="B7" s="194"/>
      <c r="C7" s="206" t="s">
        <v>73</v>
      </c>
      <c r="D7" s="206" t="s">
        <v>74</v>
      </c>
      <c r="E7" s="206" t="s">
        <v>75</v>
      </c>
      <c r="F7" s="222" t="s">
        <v>718</v>
      </c>
      <c r="G7" s="223" t="s">
        <v>212</v>
      </c>
      <c r="H7" s="208" t="s">
        <v>26</v>
      </c>
      <c r="I7" s="208" t="s">
        <v>27</v>
      </c>
      <c r="J7" s="208" t="s">
        <v>35</v>
      </c>
      <c r="K7" s="206" t="s">
        <v>209</v>
      </c>
      <c r="L7" s="209" t="s">
        <v>164</v>
      </c>
      <c r="M7" s="225" t="s">
        <v>719</v>
      </c>
      <c r="N7" s="207" t="s">
        <v>145</v>
      </c>
      <c r="O7" s="213" t="s">
        <v>12</v>
      </c>
      <c r="P7" s="213" t="s">
        <v>13</v>
      </c>
      <c r="Q7" s="194"/>
      <c r="R7" s="225" t="s">
        <v>720</v>
      </c>
      <c r="S7" s="210" t="s">
        <v>138</v>
      </c>
      <c r="T7" s="210" t="s">
        <v>60</v>
      </c>
      <c r="U7" s="225" t="s">
        <v>721</v>
      </c>
      <c r="V7" s="194"/>
      <c r="W7" s="194"/>
      <c r="X7" s="194"/>
      <c r="Y7" s="194"/>
    </row>
    <row r="8" spans="1:25" ht="42" customHeight="1" thickTop="1" thickBot="1">
      <c r="A8" s="6">
        <v>6</v>
      </c>
      <c r="B8" s="194"/>
      <c r="C8" s="194"/>
      <c r="D8" s="205" t="s">
        <v>114</v>
      </c>
      <c r="E8" s="205" t="s">
        <v>184</v>
      </c>
      <c r="F8" s="205" t="s">
        <v>111</v>
      </c>
      <c r="G8" s="205" t="s">
        <v>110</v>
      </c>
      <c r="H8" s="204" t="s">
        <v>15</v>
      </c>
      <c r="I8" s="204" t="s">
        <v>16</v>
      </c>
      <c r="J8" s="204" t="s">
        <v>17</v>
      </c>
      <c r="K8" s="208" t="s">
        <v>41</v>
      </c>
      <c r="L8" s="207" t="s">
        <v>61</v>
      </c>
      <c r="M8" s="209" t="s">
        <v>62</v>
      </c>
      <c r="N8" s="226" t="s">
        <v>722</v>
      </c>
      <c r="O8" s="213" t="s">
        <v>19</v>
      </c>
      <c r="P8" s="213" t="s">
        <v>20</v>
      </c>
      <c r="Q8" s="194"/>
      <c r="R8" s="194"/>
      <c r="S8" s="204" t="s">
        <v>8</v>
      </c>
      <c r="T8" s="204" t="s">
        <v>9</v>
      </c>
      <c r="U8" s="204" t="s">
        <v>10</v>
      </c>
      <c r="V8" s="194"/>
      <c r="W8" s="194"/>
      <c r="X8" s="194"/>
      <c r="Y8" s="194"/>
    </row>
    <row r="9" spans="1:25" ht="42" customHeight="1" thickTop="1" thickBot="1">
      <c r="A9" s="6">
        <v>7</v>
      </c>
      <c r="B9" s="194"/>
      <c r="C9" s="194"/>
      <c r="D9" s="205" t="s">
        <v>115</v>
      </c>
      <c r="E9" s="205" t="s">
        <v>183</v>
      </c>
      <c r="F9" s="205" t="s">
        <v>182</v>
      </c>
      <c r="G9" s="205" t="s">
        <v>181</v>
      </c>
      <c r="H9" s="204" t="s">
        <v>23</v>
      </c>
      <c r="I9" s="204" t="s">
        <v>24</v>
      </c>
      <c r="J9" s="204" t="s">
        <v>25</v>
      </c>
      <c r="K9" s="208" t="s">
        <v>49</v>
      </c>
      <c r="L9" s="208" t="s">
        <v>50</v>
      </c>
      <c r="M9" s="208" t="s">
        <v>51</v>
      </c>
      <c r="N9" s="226" t="s">
        <v>723</v>
      </c>
      <c r="O9" s="201" t="s">
        <v>724</v>
      </c>
      <c r="P9" s="194"/>
      <c r="Q9" s="194"/>
      <c r="R9" s="194"/>
      <c r="S9" s="204" t="s">
        <v>31</v>
      </c>
      <c r="T9" s="204" t="s">
        <v>32</v>
      </c>
      <c r="U9" s="204" t="s">
        <v>33</v>
      </c>
      <c r="V9" s="208" t="s">
        <v>146</v>
      </c>
      <c r="W9" s="194"/>
      <c r="X9" s="194"/>
      <c r="Y9" s="194"/>
    </row>
    <row r="10" spans="1:25" ht="42" customHeight="1" thickTop="1" thickBot="1">
      <c r="A10" s="6">
        <v>8</v>
      </c>
      <c r="B10" s="194"/>
      <c r="C10" s="194"/>
      <c r="D10" s="205" t="s">
        <v>116</v>
      </c>
      <c r="E10" s="196" t="s">
        <v>725</v>
      </c>
      <c r="F10" s="196" t="s">
        <v>726</v>
      </c>
      <c r="G10" s="204" t="s">
        <v>160</v>
      </c>
      <c r="H10" s="204" t="s">
        <v>162</v>
      </c>
      <c r="I10" s="204" t="s">
        <v>163</v>
      </c>
      <c r="J10" s="204" t="s">
        <v>147</v>
      </c>
      <c r="K10" s="208" t="s">
        <v>42</v>
      </c>
      <c r="L10" s="206" t="s">
        <v>69</v>
      </c>
      <c r="M10" s="206" t="s">
        <v>70</v>
      </c>
      <c r="N10" s="206" t="s">
        <v>22</v>
      </c>
      <c r="O10" s="201" t="s">
        <v>250</v>
      </c>
      <c r="P10" s="201" t="s">
        <v>727</v>
      </c>
      <c r="Q10" s="194"/>
      <c r="R10" s="194"/>
      <c r="S10" s="204" t="s">
        <v>38</v>
      </c>
      <c r="T10" s="204" t="s">
        <v>39</v>
      </c>
      <c r="U10" s="204" t="s">
        <v>40</v>
      </c>
      <c r="V10" s="194"/>
      <c r="W10" s="194"/>
      <c r="X10" s="194"/>
      <c r="Y10" s="194"/>
    </row>
    <row r="11" spans="1:25" ht="42" customHeight="1" thickTop="1" thickBot="1">
      <c r="A11" s="6">
        <v>9</v>
      </c>
      <c r="B11" s="194"/>
      <c r="C11" s="223" t="s">
        <v>233</v>
      </c>
      <c r="D11" s="223" t="s">
        <v>234</v>
      </c>
      <c r="E11" s="196" t="s">
        <v>728</v>
      </c>
      <c r="F11" s="196" t="s">
        <v>729</v>
      </c>
      <c r="G11" s="204" t="s">
        <v>161</v>
      </c>
      <c r="H11" s="198" t="s">
        <v>730</v>
      </c>
      <c r="I11" s="198" t="s">
        <v>731</v>
      </c>
      <c r="J11" s="205" t="s">
        <v>1</v>
      </c>
      <c r="K11" s="209" t="s">
        <v>189</v>
      </c>
      <c r="L11" s="201" t="s">
        <v>732</v>
      </c>
      <c r="M11" s="206" t="s">
        <v>72</v>
      </c>
      <c r="N11" s="206" t="s">
        <v>382</v>
      </c>
      <c r="O11" s="206" t="s">
        <v>87</v>
      </c>
      <c r="P11" s="196" t="s">
        <v>733</v>
      </c>
      <c r="Q11" s="196" t="s">
        <v>734</v>
      </c>
      <c r="R11" s="194"/>
      <c r="S11" s="208" t="s">
        <v>84</v>
      </c>
      <c r="T11" s="198" t="s">
        <v>735</v>
      </c>
      <c r="U11" s="198" t="s">
        <v>252</v>
      </c>
      <c r="V11" s="198" t="s">
        <v>736</v>
      </c>
      <c r="W11" s="194"/>
      <c r="X11" s="194"/>
      <c r="Y11" s="194"/>
    </row>
    <row r="12" spans="1:25" ht="42" customHeight="1" thickTop="1" thickBot="1">
      <c r="A12" s="6">
        <v>10</v>
      </c>
      <c r="B12" s="194"/>
      <c r="C12" s="223" t="s">
        <v>236</v>
      </c>
      <c r="D12" s="223" t="s">
        <v>235</v>
      </c>
      <c r="E12" s="202" t="s">
        <v>737</v>
      </c>
      <c r="F12" s="198" t="s">
        <v>738</v>
      </c>
      <c r="G12" s="205" t="s">
        <v>82</v>
      </c>
      <c r="H12" s="205" t="s">
        <v>81</v>
      </c>
      <c r="I12" s="205" t="s">
        <v>78</v>
      </c>
      <c r="J12" s="205" t="s">
        <v>2</v>
      </c>
      <c r="K12" s="209" t="s">
        <v>188</v>
      </c>
      <c r="L12" s="201" t="s">
        <v>739</v>
      </c>
      <c r="M12" s="201" t="s">
        <v>740</v>
      </c>
      <c r="N12" s="200" t="s">
        <v>741</v>
      </c>
      <c r="O12" s="202" t="s">
        <v>742</v>
      </c>
      <c r="P12" s="196" t="s">
        <v>743</v>
      </c>
      <c r="Q12" s="196" t="s">
        <v>744</v>
      </c>
      <c r="R12" s="210" t="s">
        <v>64</v>
      </c>
      <c r="S12" s="210" t="s">
        <v>63</v>
      </c>
      <c r="T12" s="210" t="s">
        <v>124</v>
      </c>
      <c r="U12" s="206" t="s">
        <v>86</v>
      </c>
      <c r="V12" s="194"/>
      <c r="W12" s="194"/>
      <c r="X12" s="194"/>
      <c r="Y12" s="194"/>
    </row>
    <row r="13" spans="1:25" ht="42" customHeight="1" thickTop="1" thickBot="1">
      <c r="A13" s="6">
        <v>11</v>
      </c>
      <c r="B13" s="215"/>
      <c r="C13" s="205" t="s">
        <v>202</v>
      </c>
      <c r="D13" s="205" t="s">
        <v>203</v>
      </c>
      <c r="E13" s="208" t="s">
        <v>129</v>
      </c>
      <c r="F13" s="208" t="s">
        <v>123</v>
      </c>
      <c r="G13" s="198" t="s">
        <v>745</v>
      </c>
      <c r="H13" s="213" t="s">
        <v>90</v>
      </c>
      <c r="I13" s="199" t="s">
        <v>746</v>
      </c>
      <c r="J13" s="207" t="s">
        <v>237</v>
      </c>
      <c r="K13" s="213" t="s">
        <v>170</v>
      </c>
      <c r="L13" s="199" t="s">
        <v>747</v>
      </c>
      <c r="M13" s="200" t="s">
        <v>748</v>
      </c>
      <c r="N13" s="200" t="s">
        <v>749</v>
      </c>
      <c r="O13" s="200" t="s">
        <v>750</v>
      </c>
      <c r="P13" s="196" t="s">
        <v>751</v>
      </c>
      <c r="Q13" s="196" t="s">
        <v>752</v>
      </c>
      <c r="R13" s="196" t="s">
        <v>753</v>
      </c>
      <c r="S13" s="210" t="s">
        <v>59</v>
      </c>
      <c r="T13" s="210" t="s">
        <v>125</v>
      </c>
      <c r="U13" s="206" t="s">
        <v>88</v>
      </c>
      <c r="V13" s="201" t="s">
        <v>754</v>
      </c>
      <c r="W13" s="201" t="s">
        <v>755</v>
      </c>
      <c r="X13" s="194"/>
      <c r="Y13" s="194"/>
    </row>
    <row r="14" spans="1:25" ht="42" customHeight="1" thickTop="1" thickBot="1">
      <c r="A14" s="6">
        <v>12</v>
      </c>
      <c r="B14" s="205" t="s">
        <v>207</v>
      </c>
      <c r="C14" s="205" t="s">
        <v>204</v>
      </c>
      <c r="D14" s="205" t="s">
        <v>205</v>
      </c>
      <c r="E14" s="207" t="s">
        <v>152</v>
      </c>
      <c r="F14" s="208" t="s">
        <v>121</v>
      </c>
      <c r="G14" s="213" t="s">
        <v>92</v>
      </c>
      <c r="H14" s="213" t="s">
        <v>91</v>
      </c>
      <c r="I14" s="213" t="s">
        <v>93</v>
      </c>
      <c r="J14" s="207" t="s">
        <v>55</v>
      </c>
      <c r="K14" s="213" t="s">
        <v>94</v>
      </c>
      <c r="L14" s="206" t="s">
        <v>176</v>
      </c>
      <c r="M14" s="206" t="s">
        <v>177</v>
      </c>
      <c r="N14" s="206" t="s">
        <v>178</v>
      </c>
      <c r="O14" s="194"/>
      <c r="P14" s="194"/>
      <c r="Q14" s="196" t="s">
        <v>756</v>
      </c>
      <c r="R14" s="210" t="s">
        <v>53</v>
      </c>
      <c r="S14" s="210" t="s">
        <v>52</v>
      </c>
      <c r="T14" s="210" t="s">
        <v>126</v>
      </c>
      <c r="U14" s="206" t="s">
        <v>89</v>
      </c>
      <c r="V14" s="206" t="s">
        <v>7</v>
      </c>
      <c r="W14" s="201" t="s">
        <v>757</v>
      </c>
      <c r="X14" s="194"/>
      <c r="Y14" s="194"/>
    </row>
    <row r="15" spans="1:25" ht="42" customHeight="1" thickTop="1" thickBot="1">
      <c r="A15" s="6">
        <v>13</v>
      </c>
      <c r="B15" s="208" t="s">
        <v>208</v>
      </c>
      <c r="C15" s="207" t="s">
        <v>122</v>
      </c>
      <c r="D15" s="205" t="s">
        <v>206</v>
      </c>
      <c r="E15" s="198" t="s">
        <v>758</v>
      </c>
      <c r="F15" s="208" t="s">
        <v>128</v>
      </c>
      <c r="G15" s="213" t="s">
        <v>107</v>
      </c>
      <c r="H15" s="199" t="s">
        <v>759</v>
      </c>
      <c r="I15" s="199" t="s">
        <v>760</v>
      </c>
      <c r="J15" s="218" t="s">
        <v>56</v>
      </c>
      <c r="K15" s="196" t="s">
        <v>761</v>
      </c>
      <c r="L15" s="206" t="s">
        <v>169</v>
      </c>
      <c r="M15" s="206" t="s">
        <v>168</v>
      </c>
      <c r="N15" s="206" t="s">
        <v>167</v>
      </c>
      <c r="O15" s="194"/>
      <c r="P15" s="194"/>
      <c r="Q15" s="196" t="s">
        <v>762</v>
      </c>
      <c r="R15" s="204" t="s">
        <v>102</v>
      </c>
      <c r="S15" s="204" t="s">
        <v>101</v>
      </c>
      <c r="T15" s="208" t="s">
        <v>197</v>
      </c>
      <c r="U15" s="208" t="s">
        <v>196</v>
      </c>
      <c r="V15" s="208" t="s">
        <v>195</v>
      </c>
      <c r="W15" s="194"/>
      <c r="X15" s="194"/>
      <c r="Y15" s="194"/>
    </row>
    <row r="16" spans="1:25" ht="42" customHeight="1" thickTop="1" thickBot="1">
      <c r="A16" s="6">
        <v>14</v>
      </c>
      <c r="B16" s="194"/>
      <c r="C16" s="194"/>
      <c r="D16" s="208" t="s">
        <v>118</v>
      </c>
      <c r="E16" s="206" t="s">
        <v>21</v>
      </c>
      <c r="F16" s="208" t="s">
        <v>130</v>
      </c>
      <c r="G16" s="213" t="s">
        <v>109</v>
      </c>
      <c r="H16" s="207" t="s">
        <v>148</v>
      </c>
      <c r="I16" s="217" t="s">
        <v>763</v>
      </c>
      <c r="J16" s="218" t="s">
        <v>57</v>
      </c>
      <c r="K16" s="196" t="s">
        <v>764</v>
      </c>
      <c r="L16" s="196" t="s">
        <v>765</v>
      </c>
      <c r="M16" s="223" t="s">
        <v>227</v>
      </c>
      <c r="N16" s="194"/>
      <c r="O16" s="194"/>
      <c r="P16" s="197" t="s">
        <v>766</v>
      </c>
      <c r="Q16" s="197" t="s">
        <v>767</v>
      </c>
      <c r="R16" s="204" t="s">
        <v>103</v>
      </c>
      <c r="S16" s="204" t="s">
        <v>100</v>
      </c>
      <c r="T16" s="202" t="s">
        <v>768</v>
      </c>
      <c r="U16" s="208" t="s">
        <v>198</v>
      </c>
      <c r="V16" s="194"/>
      <c r="W16" s="194"/>
      <c r="X16" s="194"/>
      <c r="Y16" s="194"/>
    </row>
    <row r="17" spans="1:22" ht="42" customHeight="1" thickTop="1" thickBot="1">
      <c r="A17" s="6">
        <v>15</v>
      </c>
      <c r="B17" s="194"/>
      <c r="C17" s="194"/>
      <c r="D17" s="208" t="s">
        <v>119</v>
      </c>
      <c r="E17" s="206" t="s">
        <v>29</v>
      </c>
      <c r="F17" s="198" t="s">
        <v>769</v>
      </c>
      <c r="G17" s="205" t="s">
        <v>3</v>
      </c>
      <c r="H17" s="207" t="s">
        <v>120</v>
      </c>
      <c r="I17" s="217" t="s">
        <v>770</v>
      </c>
      <c r="J17" s="218" t="s">
        <v>58</v>
      </c>
      <c r="K17" s="196" t="s">
        <v>771</v>
      </c>
      <c r="L17" s="198" t="s">
        <v>772</v>
      </c>
      <c r="M17" s="205" t="s">
        <v>76</v>
      </c>
      <c r="N17" s="205" t="s">
        <v>77</v>
      </c>
      <c r="O17" s="205" t="s">
        <v>112</v>
      </c>
      <c r="P17" s="197" t="s">
        <v>773</v>
      </c>
      <c r="Q17" s="197" t="s">
        <v>774</v>
      </c>
      <c r="R17" s="204" t="s">
        <v>104</v>
      </c>
      <c r="S17" s="200" t="s">
        <v>253</v>
      </c>
      <c r="T17" s="210" t="s">
        <v>65</v>
      </c>
      <c r="U17" s="210" t="s">
        <v>66</v>
      </c>
      <c r="V17" s="216"/>
    </row>
    <row r="18" spans="1:22" ht="42" customHeight="1" thickTop="1" thickBot="1">
      <c r="A18" s="6">
        <v>16</v>
      </c>
      <c r="B18" s="194"/>
      <c r="C18" s="194"/>
      <c r="D18" s="207" t="s">
        <v>108</v>
      </c>
      <c r="E18" s="206" t="s">
        <v>37</v>
      </c>
      <c r="F18" s="206" t="s">
        <v>85</v>
      </c>
      <c r="G18" s="205" t="s">
        <v>79</v>
      </c>
      <c r="H18" s="205" t="s">
        <v>4</v>
      </c>
      <c r="I18" s="207" t="s">
        <v>187</v>
      </c>
      <c r="J18" s="204" t="s">
        <v>150</v>
      </c>
      <c r="K18" s="213" t="s">
        <v>67</v>
      </c>
      <c r="L18" s="213" t="s">
        <v>173</v>
      </c>
      <c r="M18" s="207" t="s">
        <v>83</v>
      </c>
      <c r="N18" s="205" t="s">
        <v>80</v>
      </c>
      <c r="O18" s="205" t="s">
        <v>11</v>
      </c>
      <c r="P18" s="208" t="s">
        <v>149</v>
      </c>
      <c r="Q18" s="204" t="s">
        <v>185</v>
      </c>
      <c r="R18" s="214" t="s">
        <v>127</v>
      </c>
      <c r="S18" s="199" t="s">
        <v>775</v>
      </c>
      <c r="T18" s="213" t="s">
        <v>199</v>
      </c>
      <c r="U18" s="210" t="s">
        <v>131</v>
      </c>
      <c r="V18" s="216"/>
    </row>
    <row r="19" spans="1:22" ht="42" customHeight="1" thickTop="1" thickBot="1">
      <c r="A19" s="6">
        <v>17</v>
      </c>
      <c r="B19" s="194"/>
      <c r="C19" s="194"/>
      <c r="D19" s="194"/>
      <c r="E19" s="206" t="s">
        <v>44</v>
      </c>
      <c r="F19" s="209" t="s">
        <v>186</v>
      </c>
      <c r="G19" s="194"/>
      <c r="H19" s="197" t="s">
        <v>776</v>
      </c>
      <c r="I19" s="197" t="s">
        <v>777</v>
      </c>
      <c r="J19" s="204" t="s">
        <v>151</v>
      </c>
      <c r="K19" s="213" t="s">
        <v>68</v>
      </c>
      <c r="L19" s="213" t="s">
        <v>172</v>
      </c>
      <c r="M19" s="213" t="s">
        <v>171</v>
      </c>
      <c r="N19" s="209" t="s">
        <v>179</v>
      </c>
      <c r="O19" s="205" t="s">
        <v>18</v>
      </c>
      <c r="P19" s="223" t="s">
        <v>219</v>
      </c>
      <c r="Q19" s="223" t="s">
        <v>220</v>
      </c>
      <c r="R19" s="213" t="s">
        <v>28</v>
      </c>
      <c r="S19" s="213" t="s">
        <v>431</v>
      </c>
      <c r="T19" s="213" t="s">
        <v>200</v>
      </c>
      <c r="U19" s="210" t="s">
        <v>132</v>
      </c>
      <c r="V19" s="210" t="s">
        <v>133</v>
      </c>
    </row>
    <row r="20" spans="1:22" ht="42" customHeight="1" thickTop="1" thickBot="1">
      <c r="A20" s="6">
        <v>18</v>
      </c>
      <c r="B20" s="194"/>
      <c r="C20" s="194"/>
      <c r="D20" s="194"/>
      <c r="E20" s="194"/>
      <c r="F20" s="194"/>
      <c r="G20" s="194"/>
      <c r="H20" s="197" t="s">
        <v>778</v>
      </c>
      <c r="I20" s="204" t="s">
        <v>156</v>
      </c>
      <c r="J20" s="204" t="s">
        <v>153</v>
      </c>
      <c r="K20" s="213" t="s">
        <v>117</v>
      </c>
      <c r="L20" s="199" t="s">
        <v>779</v>
      </c>
      <c r="M20" s="199" t="s">
        <v>780</v>
      </c>
      <c r="N20" s="209" t="s">
        <v>190</v>
      </c>
      <c r="O20" s="204" t="s">
        <v>158</v>
      </c>
      <c r="P20" s="223" t="s">
        <v>221</v>
      </c>
      <c r="Q20" s="223" t="s">
        <v>222</v>
      </c>
      <c r="R20" s="213" t="s">
        <v>36</v>
      </c>
      <c r="S20" s="213" t="s">
        <v>96</v>
      </c>
      <c r="T20" s="207" t="s">
        <v>97</v>
      </c>
      <c r="U20" s="210" t="s">
        <v>136</v>
      </c>
      <c r="V20" s="210" t="s">
        <v>137</v>
      </c>
    </row>
    <row r="21" spans="1:22" ht="42" customHeight="1" thickTop="1" thickBot="1">
      <c r="A21" s="6">
        <v>19</v>
      </c>
      <c r="B21" s="194"/>
      <c r="C21" s="194"/>
      <c r="D21" s="194"/>
      <c r="E21" s="194"/>
      <c r="F21" s="194"/>
      <c r="G21" s="194"/>
      <c r="H21" s="194"/>
      <c r="I21" s="204" t="s">
        <v>157</v>
      </c>
      <c r="J21" s="194"/>
      <c r="K21" s="194"/>
      <c r="L21" s="194"/>
      <c r="M21" s="209" t="s">
        <v>192</v>
      </c>
      <c r="N21" s="209" t="s">
        <v>191</v>
      </c>
      <c r="O21" s="204" t="s">
        <v>159</v>
      </c>
      <c r="P21" s="223" t="s">
        <v>228</v>
      </c>
      <c r="Q21" s="223" t="s">
        <v>226</v>
      </c>
      <c r="R21" s="213" t="s">
        <v>43</v>
      </c>
      <c r="S21" s="213" t="s">
        <v>105</v>
      </c>
      <c r="T21" s="207" t="s">
        <v>98</v>
      </c>
      <c r="U21" s="194"/>
      <c r="V21" s="194"/>
    </row>
    <row r="22" spans="1:22" s="15" customFormat="1" ht="42" customHeight="1" thickTop="1" thickBot="1"/>
    <row r="23" spans="1:22" ht="42" customHeight="1" thickTop="1" thickBot="1">
      <c r="B23" s="6" t="s">
        <v>305</v>
      </c>
      <c r="C23" s="6">
        <f>COUNTA(Verse!B2:Y21)</f>
        <v>257</v>
      </c>
    </row>
    <row r="24" spans="1:22" ht="42" customHeight="1" thickTop="1" thickBot="1">
      <c r="B24" s="6" t="s">
        <v>273</v>
      </c>
      <c r="C24" s="6">
        <f>COUNTBLANK(Verse!B2:Y21)</f>
        <v>223</v>
      </c>
    </row>
    <row r="26" spans="1:22" ht="42" customHeight="1" thickTop="1" thickBot="1">
      <c r="B26" s="29"/>
      <c r="C26" s="6">
        <f>COUNTCCOLOR(Verse!B2:Y21,B26)</f>
        <v>37</v>
      </c>
    </row>
    <row r="27" spans="1:22" ht="42" customHeight="1" thickTop="1" thickBot="1">
      <c r="B27" s="30"/>
      <c r="C27" s="6">
        <f>COUNTCCOLOR(Verse!B2:Y21,B27)</f>
        <v>31</v>
      </c>
    </row>
    <row r="28" spans="1:22" ht="42" customHeight="1" thickTop="1" thickBot="1">
      <c r="B28" s="32"/>
      <c r="C28" s="6">
        <f>COUNTCCOLOR(Verse!B2:Y21,B28)</f>
        <v>32</v>
      </c>
    </row>
    <row r="29" spans="1:22" ht="42" customHeight="1" thickTop="1" thickBot="1">
      <c r="B29" s="31"/>
      <c r="C29" s="6">
        <f>COUNTCCOLOR(Verse!B2:Y21,B29)</f>
        <v>35</v>
      </c>
    </row>
    <row r="30" spans="1:22" ht="42" customHeight="1" thickTop="1" thickBot="1">
      <c r="B30" s="28"/>
      <c r="C30" s="6">
        <f>COUNTCCOLOR(Verse!B2:Y21,B30)</f>
        <v>33</v>
      </c>
    </row>
    <row r="31" spans="1:22" ht="42" customHeight="1" thickTop="1" thickBot="1">
      <c r="B31" s="33"/>
      <c r="C31" s="6">
        <f>COUNTCCOLOR(Verse!B2:Y21,B31)</f>
        <v>26</v>
      </c>
    </row>
    <row r="38" ht="42" customHeight="1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Z35"/>
  <sheetViews>
    <sheetView zoomScale="90" zoomScaleNormal="90" workbookViewId="0">
      <pane xSplit="1" ySplit="1" topLeftCell="B8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activeCell="P11" sqref="P11"/>
      <selection pane="bottomLeft" activeCell="C256" sqref="C256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53" t="s">
        <v>261</v>
      </c>
      <c r="I3" s="253"/>
    </row>
    <row r="4" spans="1:9" ht="16.5" thickTop="1" thickBot="1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53"/>
      <c r="I4" s="253"/>
    </row>
    <row r="5" spans="1:9" ht="16.5" thickTop="1" thickBot="1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53"/>
      <c r="I5" s="253"/>
    </row>
    <row r="6" spans="1:9" ht="16.5" thickTop="1" thickBot="1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53"/>
      <c r="I6" s="253"/>
    </row>
    <row r="7" spans="1:9" ht="16.5" thickTop="1" thickBot="1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53"/>
      <c r="I7" s="253"/>
    </row>
    <row r="8" spans="1:9" ht="16.5" thickTop="1" thickBot="1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53"/>
      <c r="I8" s="253"/>
    </row>
    <row r="9" spans="1:9" ht="16.5" thickTop="1" thickBot="1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53"/>
      <c r="I9" s="253"/>
    </row>
    <row r="10" spans="1:9" ht="16.5" thickTop="1" thickBot="1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53"/>
      <c r="I10" s="253"/>
    </row>
    <row r="11" spans="1:9" ht="16.5" thickTop="1" thickBot="1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53"/>
      <c r="I11" s="253"/>
    </row>
    <row r="12" spans="1:9" ht="16.5" thickTop="1" thickBot="1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53"/>
      <c r="I12" s="253"/>
    </row>
    <row r="13" spans="1:9" ht="16.5" thickTop="1" thickBot="1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53"/>
      <c r="I13" s="253"/>
    </row>
    <row r="14" spans="1:9" s="17" customFormat="1" ht="16.5" thickTop="1" thickBot="1">
      <c r="B14" s="23"/>
      <c r="C14" s="23"/>
    </row>
    <row r="15" spans="1:9" ht="16.5" thickTop="1" thickBot="1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42" t="s">
        <v>264</v>
      </c>
      <c r="I15" s="242"/>
    </row>
    <row r="16" spans="1:9" ht="16.5" thickTop="1" thickBot="1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42"/>
      <c r="I16" s="242"/>
    </row>
    <row r="17" spans="1:9" ht="16.5" thickTop="1" thickBot="1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42"/>
      <c r="I17" s="242"/>
    </row>
    <row r="18" spans="1:9" ht="16.5" thickTop="1" thickBot="1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42"/>
      <c r="I18" s="242"/>
    </row>
    <row r="19" spans="1:9" ht="16.5" thickTop="1" thickBot="1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42"/>
      <c r="I19" s="242"/>
    </row>
    <row r="20" spans="1:9" ht="16.5" thickTop="1" thickBot="1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42"/>
      <c r="I20" s="242"/>
    </row>
    <row r="21" spans="1:9" ht="16.5" thickTop="1" thickBot="1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42"/>
      <c r="I21" s="242"/>
    </row>
    <row r="22" spans="1:9" ht="16.5" thickTop="1" thickBot="1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42"/>
      <c r="I22" s="242"/>
    </row>
    <row r="23" spans="1:9" ht="16.5" thickTop="1" thickBot="1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42"/>
      <c r="I23" s="242"/>
    </row>
    <row r="24" spans="1:9" s="17" customFormat="1" ht="16.5" thickTop="1" thickBot="1">
      <c r="B24" s="23"/>
      <c r="C24" s="23"/>
    </row>
    <row r="25" spans="1:9" ht="16.5" thickTop="1" thickBot="1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54" t="s">
        <v>267</v>
      </c>
      <c r="I25" s="254"/>
    </row>
    <row r="26" spans="1:9" ht="16.5" thickTop="1" thickBot="1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54"/>
      <c r="I26" s="254"/>
    </row>
    <row r="27" spans="1:9" ht="16.5" thickTop="1" thickBot="1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54"/>
      <c r="I27" s="254"/>
    </row>
    <row r="28" spans="1:9" ht="16.5" thickTop="1" thickBot="1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54"/>
      <c r="I28" s="254"/>
    </row>
    <row r="29" spans="1:9" ht="16.5" thickTop="1" thickBot="1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54"/>
      <c r="I29" s="254"/>
    </row>
    <row r="30" spans="1:9" ht="16.5" thickTop="1" thickBot="1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54"/>
      <c r="I30" s="254"/>
    </row>
    <row r="31" spans="1:9" ht="16.5" thickTop="1" thickBot="1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54"/>
      <c r="I31" s="254"/>
    </row>
    <row r="32" spans="1:9" s="17" customFormat="1" ht="16.5" thickTop="1" thickBot="1">
      <c r="B32" s="23"/>
      <c r="C32" s="23"/>
    </row>
    <row r="33" spans="1:9" ht="15" customHeight="1" thickTop="1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55" t="s">
        <v>269</v>
      </c>
      <c r="I33" s="255"/>
    </row>
    <row r="34" spans="1:9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56"/>
      <c r="I34" s="256"/>
    </row>
    <row r="35" spans="1:9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56"/>
      <c r="I35" s="256"/>
    </row>
    <row r="36" spans="1:9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56"/>
      <c r="I36" s="256"/>
    </row>
    <row r="37" spans="1:9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56"/>
      <c r="I37" s="256"/>
    </row>
    <row r="38" spans="1:9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56"/>
      <c r="I38" s="256"/>
    </row>
    <row r="39" spans="1:9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56"/>
      <c r="I39" s="256"/>
    </row>
    <row r="40" spans="1:9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56"/>
      <c r="I40" s="256"/>
    </row>
    <row r="41" spans="1:9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56"/>
      <c r="I41" s="256"/>
    </row>
    <row r="42" spans="1:9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57"/>
      <c r="I42" s="257"/>
    </row>
    <row r="43" spans="1:9" s="17" customFormat="1" ht="15.75" thickBot="1">
      <c r="B43" s="23"/>
      <c r="C43" s="23"/>
      <c r="H43" s="19"/>
      <c r="I43" s="19"/>
    </row>
    <row r="44" spans="1:9" ht="16.5" thickTop="1" thickBot="1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54" t="s">
        <v>271</v>
      </c>
      <c r="I44" s="254"/>
    </row>
    <row r="45" spans="1:9" ht="16.5" thickTop="1" thickBot="1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54"/>
      <c r="I45" s="254"/>
    </row>
    <row r="46" spans="1:9" ht="16.5" thickTop="1" thickBot="1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54"/>
      <c r="I46" s="254"/>
    </row>
    <row r="47" spans="1:9" ht="16.5" thickTop="1" thickBot="1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54"/>
      <c r="I47" s="254"/>
    </row>
    <row r="48" spans="1:9" ht="16.5" thickTop="1" thickBot="1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54"/>
      <c r="I48" s="254"/>
    </row>
    <row r="49" spans="1:9" ht="16.5" thickTop="1" thickBot="1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54"/>
      <c r="I49" s="254"/>
    </row>
    <row r="50" spans="1:9" s="17" customFormat="1" ht="16.5" thickTop="1" thickBot="1">
      <c r="B50" s="23"/>
      <c r="C50" s="23"/>
    </row>
    <row r="51" spans="1:9" ht="15" customHeight="1" thickTop="1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64" t="s">
        <v>272</v>
      </c>
      <c r="I51" s="265"/>
    </row>
    <row r="52" spans="1:9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66"/>
      <c r="I52" s="267"/>
    </row>
    <row r="53" spans="1:9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66"/>
      <c r="I53" s="267"/>
    </row>
    <row r="54" spans="1:9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66"/>
      <c r="I54" s="267"/>
    </row>
    <row r="55" spans="1:9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66"/>
      <c r="I55" s="267"/>
    </row>
    <row r="56" spans="1:9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66"/>
      <c r="I56" s="267"/>
    </row>
    <row r="57" spans="1:9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66"/>
      <c r="I57" s="267"/>
    </row>
    <row r="58" spans="1:9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66"/>
      <c r="I58" s="267"/>
    </row>
    <row r="59" spans="1:9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66"/>
      <c r="I59" s="267"/>
    </row>
    <row r="60" spans="1:9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66"/>
      <c r="I60" s="267"/>
    </row>
    <row r="61" spans="1:9" ht="15.75" thickBot="1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68"/>
      <c r="I61" s="269"/>
    </row>
    <row r="62" spans="1:9" s="17" customFormat="1" ht="16.5" thickTop="1" thickBot="1">
      <c r="B62" s="23"/>
      <c r="C62" s="23"/>
    </row>
    <row r="63" spans="1:9" ht="16.5" thickTop="1" thickBot="1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42" t="s">
        <v>283</v>
      </c>
      <c r="I63" s="242"/>
    </row>
    <row r="64" spans="1:9" ht="16.5" thickTop="1" thickBot="1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42"/>
      <c r="I64" s="242"/>
    </row>
    <row r="65" spans="1:9" ht="16.5" thickTop="1" thickBot="1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42"/>
      <c r="I65" s="242"/>
    </row>
    <row r="66" spans="1:9" ht="16.5" thickTop="1" thickBot="1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42"/>
      <c r="I66" s="242"/>
    </row>
    <row r="67" spans="1:9" ht="16.5" thickTop="1" thickBot="1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42"/>
      <c r="I67" s="242"/>
    </row>
    <row r="68" spans="1:9" s="17" customFormat="1" ht="16.5" thickTop="1" thickBot="1">
      <c r="B68" s="23"/>
      <c r="C68" s="23"/>
    </row>
    <row r="69" spans="1:9" ht="15" customHeight="1" thickTop="1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61" t="s">
        <v>296</v>
      </c>
      <c r="I69" s="261"/>
    </row>
    <row r="70" spans="1:9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62"/>
      <c r="I70" s="262"/>
    </row>
    <row r="71" spans="1:9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62"/>
      <c r="I71" s="262"/>
    </row>
    <row r="72" spans="1:9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62"/>
      <c r="I72" s="262"/>
    </row>
    <row r="73" spans="1:9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62"/>
      <c r="I73" s="262"/>
    </row>
    <row r="74" spans="1:9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62"/>
      <c r="I74" s="262"/>
    </row>
    <row r="75" spans="1:9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62"/>
      <c r="I75" s="262"/>
    </row>
    <row r="76" spans="1:9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62"/>
      <c r="I76" s="262"/>
    </row>
    <row r="77" spans="1:9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62"/>
      <c r="I77" s="262"/>
    </row>
    <row r="78" spans="1:9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63"/>
      <c r="I78" s="263"/>
    </row>
    <row r="79" spans="1:9" s="17" customFormat="1" ht="15.75" thickBot="1">
      <c r="B79" s="23"/>
      <c r="C79" s="23"/>
    </row>
    <row r="80" spans="1:9" ht="15.75" thickTop="1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70" t="s">
        <v>339</v>
      </c>
      <c r="I80" s="271"/>
    </row>
    <row r="81" spans="1:9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72"/>
      <c r="I81" s="273"/>
    </row>
    <row r="82" spans="1:9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72"/>
      <c r="I82" s="273"/>
    </row>
    <row r="83" spans="1:9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72"/>
      <c r="I83" s="273"/>
    </row>
    <row r="84" spans="1:9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72"/>
      <c r="I84" s="273"/>
    </row>
    <row r="85" spans="1:9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72"/>
      <c r="I85" s="273"/>
    </row>
    <row r="86" spans="1:9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72"/>
      <c r="I86" s="273"/>
    </row>
    <row r="87" spans="1:9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72"/>
      <c r="I87" s="273"/>
    </row>
    <row r="88" spans="1:9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72"/>
      <c r="I88" s="273"/>
    </row>
    <row r="89" spans="1:9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72"/>
      <c r="I89" s="273"/>
    </row>
    <row r="90" spans="1:9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72"/>
      <c r="I90" s="273"/>
    </row>
    <row r="91" spans="1:9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72"/>
      <c r="I91" s="273"/>
    </row>
    <row r="92" spans="1:9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72"/>
      <c r="I92" s="273"/>
    </row>
    <row r="93" spans="1:9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72"/>
      <c r="I93" s="273"/>
    </row>
    <row r="94" spans="1:9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72"/>
      <c r="I94" s="273"/>
    </row>
    <row r="95" spans="1:9" ht="15.75" thickBot="1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74"/>
      <c r="I95" s="275"/>
    </row>
    <row r="96" spans="1:9" s="17" customFormat="1" ht="16.5" thickTop="1" thickBot="1">
      <c r="B96" s="23"/>
      <c r="C96" s="23"/>
    </row>
    <row r="97" spans="1:9" ht="16.5" thickTop="1" thickBot="1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54" t="s">
        <v>352</v>
      </c>
      <c r="I97" s="254"/>
    </row>
    <row r="98" spans="1:9" ht="16.5" thickTop="1" thickBot="1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54"/>
      <c r="I98" s="254"/>
    </row>
    <row r="99" spans="1:9" ht="16.5" thickTop="1" thickBot="1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54"/>
      <c r="I99" s="254"/>
    </row>
    <row r="100" spans="1:9" ht="16.5" thickTop="1" thickBot="1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54"/>
      <c r="I100" s="254"/>
    </row>
    <row r="101" spans="1:9" ht="16.5" thickTop="1" thickBot="1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54"/>
      <c r="I101" s="254"/>
    </row>
    <row r="102" spans="1:9" ht="16.5" thickTop="1" thickBot="1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54"/>
      <c r="I102" s="254"/>
    </row>
    <row r="103" spans="1:9" s="17" customFormat="1" ht="16.5" thickTop="1" thickBot="1">
      <c r="B103" s="23"/>
      <c r="C103" s="23"/>
    </row>
    <row r="104" spans="1:9" ht="15.75" thickTop="1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64" t="s">
        <v>361</v>
      </c>
      <c r="I104" s="265"/>
    </row>
    <row r="105" spans="1:9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66"/>
      <c r="I105" s="267"/>
    </row>
    <row r="106" spans="1:9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66"/>
      <c r="I106" s="267"/>
    </row>
    <row r="107" spans="1:9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66"/>
      <c r="I107" s="267"/>
    </row>
    <row r="108" spans="1:9" ht="15.75" thickBot="1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68"/>
      <c r="I108" s="269"/>
    </row>
    <row r="109" spans="1:9" s="17" customFormat="1" ht="16.5" thickTop="1" thickBot="1">
      <c r="B109" s="23"/>
      <c r="C109" s="23"/>
    </row>
    <row r="110" spans="1:9" ht="15" customHeight="1" thickTop="1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76" t="s">
        <v>381</v>
      </c>
      <c r="I110" s="277"/>
    </row>
    <row r="111" spans="1:9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78"/>
      <c r="I111" s="279"/>
    </row>
    <row r="112" spans="1:9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78"/>
      <c r="I112" s="279"/>
    </row>
    <row r="113" spans="1:9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78"/>
      <c r="I113" s="279"/>
    </row>
    <row r="114" spans="1:9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78"/>
      <c r="I114" s="279"/>
    </row>
    <row r="115" spans="1:9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78"/>
      <c r="I115" s="279"/>
    </row>
    <row r="116" spans="1:9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78"/>
      <c r="I116" s="279"/>
    </row>
    <row r="117" spans="1:9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78"/>
      <c r="I117" s="279"/>
    </row>
    <row r="118" spans="1:9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78"/>
      <c r="I118" s="279"/>
    </row>
    <row r="119" spans="1:9" ht="15.75" thickBot="1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80"/>
      <c r="I119" s="281"/>
    </row>
    <row r="120" spans="1:9" s="17" customFormat="1" ht="16.5" thickTop="1" thickBot="1">
      <c r="B120" s="23"/>
      <c r="C120" s="23"/>
    </row>
    <row r="121" spans="1:9" ht="15" customHeight="1" thickTop="1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64" t="s">
        <v>396</v>
      </c>
      <c r="I121" s="265"/>
    </row>
    <row r="122" spans="1:9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66"/>
      <c r="I122" s="267"/>
    </row>
    <row r="123" spans="1:9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66"/>
      <c r="I123" s="267"/>
    </row>
    <row r="124" spans="1:9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66"/>
      <c r="I124" s="267"/>
    </row>
    <row r="125" spans="1:9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66"/>
      <c r="I125" s="267"/>
    </row>
    <row r="126" spans="1:9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66"/>
      <c r="I126" s="267"/>
    </row>
    <row r="127" spans="1:9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66"/>
      <c r="I127" s="267"/>
    </row>
    <row r="128" spans="1:9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66"/>
      <c r="I128" s="267"/>
    </row>
    <row r="129" spans="1:9" ht="15.75" thickBot="1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68"/>
      <c r="I129" s="269"/>
    </row>
    <row r="130" spans="1:9" s="17" customFormat="1" ht="16.5" thickTop="1" thickBot="1">
      <c r="B130" s="23"/>
      <c r="C130" s="23"/>
    </row>
    <row r="131" spans="1:9" ht="16.5" thickTop="1" thickBot="1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54" t="s">
        <v>412</v>
      </c>
      <c r="I131" s="254"/>
    </row>
    <row r="132" spans="1:9" ht="16.5" thickTop="1" thickBot="1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54"/>
      <c r="I132" s="254"/>
    </row>
    <row r="133" spans="1:9" ht="16.5" thickTop="1" thickBot="1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54"/>
      <c r="I133" s="254"/>
    </row>
    <row r="134" spans="1:9" ht="16.5" thickTop="1" thickBot="1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54"/>
      <c r="I134" s="254"/>
    </row>
    <row r="135" spans="1:9" ht="16.5" thickTop="1" thickBot="1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54"/>
      <c r="I135" s="254"/>
    </row>
    <row r="136" spans="1:9" ht="16.5" thickTop="1" thickBot="1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54"/>
      <c r="I136" s="254"/>
    </row>
    <row r="137" spans="1:9" ht="16.5" thickTop="1" thickBot="1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54"/>
      <c r="I137" s="254"/>
    </row>
    <row r="138" spans="1:9" ht="16.5" thickTop="1" thickBot="1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54"/>
      <c r="I138" s="254"/>
    </row>
    <row r="139" spans="1:9" s="17" customFormat="1" ht="16.5" thickTop="1" thickBot="1">
      <c r="B139" s="23"/>
      <c r="C139" s="23"/>
    </row>
    <row r="140" spans="1:9" ht="15" customHeight="1" thickTop="1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58" t="s">
        <v>427</v>
      </c>
      <c r="I140" s="258"/>
    </row>
    <row r="141" spans="1:9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59"/>
      <c r="I141" s="259"/>
    </row>
    <row r="142" spans="1:9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59"/>
      <c r="I142" s="259"/>
    </row>
    <row r="143" spans="1:9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59"/>
      <c r="I143" s="259"/>
    </row>
    <row r="144" spans="1:9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59"/>
      <c r="I144" s="259"/>
    </row>
    <row r="145" spans="1:9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59"/>
      <c r="I145" s="259"/>
    </row>
    <row r="146" spans="1:9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59"/>
      <c r="I146" s="259"/>
    </row>
    <row r="147" spans="1:9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60"/>
      <c r="I147" s="260"/>
    </row>
    <row r="148" spans="1:9" s="17" customFormat="1" ht="15.75" thickBot="1">
      <c r="B148" s="23"/>
      <c r="C148" s="23"/>
    </row>
    <row r="149" spans="1:9" ht="16.5" thickTop="1" thickBot="1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44" t="s">
        <v>449</v>
      </c>
      <c r="I149" s="244"/>
    </row>
    <row r="150" spans="1:9" ht="16.5" thickTop="1" thickBot="1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44"/>
      <c r="I150" s="244"/>
    </row>
    <row r="151" spans="1:9" ht="16.5" thickTop="1" thickBot="1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44"/>
      <c r="I151" s="244"/>
    </row>
    <row r="152" spans="1:9" ht="16.5" thickTop="1" thickBot="1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44"/>
      <c r="I152" s="244"/>
    </row>
    <row r="153" spans="1:9" ht="16.5" thickTop="1" thickBot="1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44"/>
      <c r="I153" s="244"/>
    </row>
    <row r="154" spans="1:9" ht="16.5" thickTop="1" thickBot="1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44"/>
      <c r="I154" s="244"/>
    </row>
    <row r="155" spans="1:9" ht="16.5" thickTop="1" thickBot="1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44"/>
      <c r="I155" s="244"/>
    </row>
    <row r="156" spans="1:9" ht="16.5" thickTop="1" thickBot="1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44"/>
      <c r="I156" s="244"/>
    </row>
    <row r="157" spans="1:9" ht="16.5" thickTop="1" thickBot="1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44"/>
      <c r="I157" s="244"/>
    </row>
    <row r="158" spans="1:9" ht="16.5" thickTop="1" thickBot="1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44"/>
      <c r="I158" s="244"/>
    </row>
    <row r="159" spans="1:9" s="17" customFormat="1" ht="16.5" thickTop="1" thickBot="1">
      <c r="B159" s="23"/>
      <c r="C159" s="23"/>
    </row>
    <row r="160" spans="1:9" ht="16.5" thickTop="1" thickBot="1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45" t="s">
        <v>463</v>
      </c>
      <c r="I160" s="245"/>
    </row>
    <row r="161" spans="1:9" ht="16.5" thickTop="1" thickBot="1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45"/>
      <c r="I161" s="245"/>
    </row>
    <row r="162" spans="1:9" ht="16.5" thickTop="1" thickBot="1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45"/>
      <c r="I162" s="245"/>
    </row>
    <row r="163" spans="1:9" ht="16.5" thickTop="1" thickBot="1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45"/>
      <c r="I163" s="245"/>
    </row>
    <row r="164" spans="1:9" ht="16.5" thickTop="1" thickBot="1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45"/>
      <c r="I164" s="245"/>
    </row>
    <row r="165" spans="1:9" ht="16.5" thickTop="1" thickBot="1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45"/>
      <c r="I165" s="245"/>
    </row>
    <row r="166" spans="1:9" ht="16.5" thickTop="1" thickBot="1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45"/>
      <c r="I166" s="245"/>
    </row>
    <row r="167" spans="1:9" s="17" customFormat="1" ht="16.5" thickTop="1" thickBot="1">
      <c r="B167" s="23"/>
      <c r="C167" s="23"/>
    </row>
    <row r="168" spans="1:9" ht="16.5" thickTop="1" thickBot="1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46" t="s">
        <v>469</v>
      </c>
      <c r="I168" s="246"/>
    </row>
    <row r="169" spans="1:9" ht="16.5" thickTop="1" thickBot="1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46"/>
      <c r="I169" s="246"/>
    </row>
    <row r="170" spans="1:9" ht="16.5" thickTop="1" thickBot="1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46"/>
      <c r="I170" s="246"/>
    </row>
    <row r="171" spans="1:9" s="17" customFormat="1" ht="16.5" thickTop="1" thickBot="1">
      <c r="B171" s="23"/>
      <c r="C171" s="23"/>
    </row>
    <row r="172" spans="1:9" ht="16.5" thickTop="1" thickBot="1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42" t="s">
        <v>486</v>
      </c>
      <c r="I172" s="242"/>
    </row>
    <row r="173" spans="1:9" ht="16.5" thickTop="1" thickBot="1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42"/>
      <c r="I173" s="242"/>
    </row>
    <row r="174" spans="1:9" ht="16.5" thickTop="1" thickBot="1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42"/>
      <c r="I174" s="242"/>
    </row>
    <row r="175" spans="1:9" ht="16.5" thickTop="1" thickBot="1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42"/>
      <c r="I175" s="242"/>
    </row>
    <row r="176" spans="1:9" ht="16.5" thickTop="1" thickBot="1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42"/>
      <c r="I176" s="242"/>
    </row>
    <row r="177" spans="1:9" ht="16.5" thickTop="1" thickBot="1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42"/>
      <c r="I177" s="242"/>
    </row>
    <row r="178" spans="1:9" ht="16.5" thickTop="1" thickBot="1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42"/>
      <c r="I178" s="242"/>
    </row>
    <row r="179" spans="1:9" ht="16.5" thickTop="1" thickBot="1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42"/>
      <c r="I179" s="242"/>
    </row>
    <row r="180" spans="1:9" s="17" customFormat="1" ht="16.5" thickTop="1" thickBot="1">
      <c r="B180" s="23"/>
      <c r="C180" s="23"/>
    </row>
    <row r="181" spans="1:9" ht="15.75" thickTop="1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47" t="s">
        <v>494</v>
      </c>
      <c r="I181" s="248"/>
    </row>
    <row r="182" spans="1:9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49"/>
      <c r="I182" s="250"/>
    </row>
    <row r="183" spans="1:9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49"/>
      <c r="I183" s="250"/>
    </row>
    <row r="184" spans="1:9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49"/>
      <c r="I184" s="250"/>
    </row>
    <row r="185" spans="1:9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49"/>
      <c r="I185" s="250"/>
    </row>
    <row r="186" spans="1:9" ht="15.75" thickBot="1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51"/>
      <c r="I186" s="252"/>
    </row>
    <row r="187" spans="1:9" s="17" customFormat="1" ht="16.5" thickTop="1" thickBot="1">
      <c r="B187" s="23"/>
      <c r="C187" s="23"/>
    </row>
    <row r="188" spans="1:9" ht="16.5" thickTop="1" thickBot="1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44" t="s">
        <v>509</v>
      </c>
      <c r="I188" s="244"/>
    </row>
    <row r="189" spans="1:9" ht="16.5" thickTop="1" thickBot="1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44"/>
      <c r="I189" s="244"/>
    </row>
    <row r="190" spans="1:9" ht="16.5" thickTop="1" thickBot="1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44"/>
      <c r="I190" s="244"/>
    </row>
    <row r="191" spans="1:9" ht="16.5" thickTop="1" thickBot="1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44"/>
      <c r="I191" s="244"/>
    </row>
    <row r="192" spans="1:9" ht="16.5" thickTop="1" thickBot="1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44"/>
      <c r="I192" s="244"/>
    </row>
    <row r="193" spans="1:9" ht="16.5" thickTop="1" thickBot="1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44"/>
      <c r="I193" s="244"/>
    </row>
    <row r="194" spans="1:9" ht="16.5" thickTop="1" thickBot="1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44"/>
      <c r="I194" s="244"/>
    </row>
    <row r="195" spans="1:9" s="17" customFormat="1" ht="16.5" thickTop="1" thickBot="1">
      <c r="B195" s="23"/>
      <c r="C195" s="23"/>
    </row>
    <row r="196" spans="1:9" ht="16.5" thickTop="1" thickBot="1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82" t="s">
        <v>516</v>
      </c>
      <c r="I196" s="282"/>
    </row>
    <row r="197" spans="1:9" ht="16.5" thickTop="1" thickBot="1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82"/>
      <c r="I197" s="282"/>
    </row>
    <row r="198" spans="1:9" ht="16.5" thickTop="1" thickBot="1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82"/>
      <c r="I198" s="282"/>
    </row>
    <row r="199" spans="1:9" ht="16.5" thickTop="1" thickBot="1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82"/>
      <c r="I199" s="282"/>
    </row>
    <row r="200" spans="1:9" s="17" customFormat="1" ht="16.5" thickTop="1" thickBot="1">
      <c r="B200" s="23"/>
      <c r="C200" s="23"/>
    </row>
    <row r="201" spans="1:9" ht="16.5" thickTop="1" thickBot="1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53" t="s">
        <v>525</v>
      </c>
      <c r="I201" s="253"/>
    </row>
    <row r="202" spans="1:9" ht="16.5" thickTop="1" thickBot="1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53"/>
      <c r="I202" s="253"/>
    </row>
    <row r="203" spans="1:9" ht="16.5" thickTop="1" thickBot="1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53"/>
      <c r="I203" s="253"/>
    </row>
    <row r="204" spans="1:9" ht="16.5" thickTop="1" thickBot="1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53"/>
      <c r="I204" s="253"/>
    </row>
    <row r="205" spans="1:9" ht="16.5" thickTop="1" thickBot="1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53"/>
      <c r="I205" s="253"/>
    </row>
    <row r="206" spans="1:9" ht="16.5" thickTop="1" thickBot="1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53"/>
      <c r="I206" s="253"/>
    </row>
    <row r="207" spans="1:9" s="17" customFormat="1" ht="16.5" thickTop="1" thickBot="1">
      <c r="B207" s="23"/>
      <c r="C207" s="23"/>
    </row>
    <row r="208" spans="1:9" ht="16.5" thickTop="1" thickBot="1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42" t="s">
        <v>543</v>
      </c>
      <c r="I208" s="242"/>
    </row>
    <row r="209" spans="1:9" ht="16.5" thickTop="1" thickBot="1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42"/>
      <c r="I209" s="242"/>
    </row>
    <row r="210" spans="1:9" ht="16.5" thickTop="1" thickBot="1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42"/>
      <c r="I210" s="242"/>
    </row>
    <row r="211" spans="1:9" ht="16.5" thickTop="1" thickBot="1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42"/>
      <c r="I211" s="242"/>
    </row>
    <row r="212" spans="1:9" ht="16.5" thickTop="1" thickBot="1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42"/>
      <c r="I212" s="242"/>
    </row>
    <row r="213" spans="1:9" s="17" customFormat="1" ht="16.5" thickTop="1" thickBot="1">
      <c r="B213" s="23"/>
      <c r="C213" s="23"/>
    </row>
    <row r="214" spans="1:9" ht="16.5" thickTop="1" thickBot="1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54" t="s">
        <v>560</v>
      </c>
      <c r="I214" s="254"/>
    </row>
    <row r="215" spans="1:9" ht="16.5" thickTop="1" thickBot="1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54"/>
      <c r="I215" s="254"/>
    </row>
    <row r="216" spans="1:9" ht="16.5" thickTop="1" thickBot="1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54"/>
      <c r="I216" s="254"/>
    </row>
    <row r="217" spans="1:9" ht="16.5" thickTop="1" thickBot="1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54"/>
      <c r="I217" s="254"/>
    </row>
    <row r="218" spans="1:9" ht="16.5" thickTop="1" thickBot="1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54"/>
      <c r="I218" s="254"/>
    </row>
    <row r="219" spans="1:9" ht="16.5" thickTop="1" thickBot="1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54"/>
      <c r="I219" s="254"/>
    </row>
    <row r="220" spans="1:9" ht="16.5" thickTop="1" thickBot="1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54"/>
      <c r="I220" s="254"/>
    </row>
    <row r="221" spans="1:9" ht="16.5" thickTop="1" thickBot="1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54"/>
      <c r="I221" s="254"/>
    </row>
    <row r="222" spans="1:9" ht="16.5" thickTop="1" thickBot="1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54"/>
      <c r="I222" s="254"/>
    </row>
    <row r="223" spans="1:9" ht="16.5" thickTop="1" thickBot="1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54"/>
      <c r="I223" s="254"/>
    </row>
    <row r="224" spans="1:9" s="17" customFormat="1" ht="16.5" thickTop="1" thickBot="1">
      <c r="B224" s="23"/>
      <c r="C224" s="23"/>
    </row>
    <row r="225" spans="1:9" ht="15" customHeight="1" thickTop="1" thickBot="1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42" t="s">
        <v>571</v>
      </c>
      <c r="I225" s="242"/>
    </row>
    <row r="226" spans="1:9" ht="16.5" thickTop="1" thickBot="1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42"/>
      <c r="I226" s="242"/>
    </row>
    <row r="227" spans="1:9" ht="16.5" thickTop="1" thickBot="1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42"/>
      <c r="I227" s="242"/>
    </row>
    <row r="228" spans="1:9" ht="16.5" thickTop="1" thickBot="1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42"/>
      <c r="I228" s="242"/>
    </row>
    <row r="229" spans="1:9" ht="16.5" thickTop="1" thickBot="1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42"/>
      <c r="I229" s="242"/>
    </row>
    <row r="230" spans="1:9" ht="16.5" thickTop="1" thickBot="1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42"/>
      <c r="I230" s="242"/>
    </row>
    <row r="231" spans="1:9" ht="16.5" thickTop="1" thickBot="1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42"/>
      <c r="I231" s="242"/>
    </row>
    <row r="232" spans="1:9" ht="16.5" thickTop="1" thickBot="1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42"/>
      <c r="I232" s="242"/>
    </row>
    <row r="233" spans="1:9" ht="16.5" thickTop="1" thickBot="1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42"/>
      <c r="I233" s="242"/>
    </row>
    <row r="234" spans="1:9" ht="16.5" thickTop="1" thickBot="1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42"/>
      <c r="I234" s="242"/>
    </row>
    <row r="235" spans="1:9" ht="16.5" thickTop="1" thickBot="1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42"/>
      <c r="I235" s="242"/>
    </row>
    <row r="236" spans="1:9" ht="16.5" thickTop="1" thickBot="1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42"/>
      <c r="I236" s="242"/>
    </row>
    <row r="237" spans="1:9" ht="16.5" thickTop="1" thickBot="1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42"/>
      <c r="I237" s="242"/>
    </row>
    <row r="238" spans="1:9" s="17" customFormat="1" ht="16.5" thickTop="1" thickBot="1">
      <c r="B238" s="23"/>
      <c r="C238" s="23"/>
    </row>
    <row r="239" spans="1:9" ht="15.75" thickTop="1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36" t="s">
        <v>596</v>
      </c>
      <c r="I239" s="237"/>
    </row>
    <row r="240" spans="1:9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38"/>
      <c r="I240" s="239"/>
    </row>
    <row r="241" spans="1:9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38"/>
      <c r="I241" s="239"/>
    </row>
    <row r="242" spans="1:9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38"/>
      <c r="I242" s="239"/>
    </row>
    <row r="243" spans="1:9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38"/>
      <c r="I243" s="239"/>
    </row>
    <row r="244" spans="1:9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38"/>
      <c r="I244" s="239"/>
    </row>
    <row r="245" spans="1:9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38"/>
      <c r="I245" s="239"/>
    </row>
    <row r="246" spans="1:9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38"/>
      <c r="I246" s="239"/>
    </row>
    <row r="247" spans="1:9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38"/>
      <c r="I247" s="239"/>
    </row>
    <row r="248" spans="1:9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38"/>
      <c r="I248" s="239"/>
    </row>
    <row r="249" spans="1:9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38"/>
      <c r="I249" s="239"/>
    </row>
    <row r="250" spans="1:9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38"/>
      <c r="I250" s="239"/>
    </row>
    <row r="251" spans="1:9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38"/>
      <c r="I251" s="239"/>
    </row>
    <row r="252" spans="1:9" ht="15.75" thickBot="1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40"/>
      <c r="I252" s="241"/>
    </row>
    <row r="253" spans="1:9" s="17" customFormat="1" ht="16.5" thickTop="1" thickBot="1">
      <c r="B253" s="23"/>
      <c r="C253" s="23"/>
    </row>
    <row r="254" spans="1:9" ht="15.75" thickTop="1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36" t="s">
        <v>597</v>
      </c>
      <c r="I254" s="237"/>
    </row>
    <row r="255" spans="1:9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38"/>
      <c r="I255" s="239"/>
    </row>
    <row r="256" spans="1:9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38"/>
      <c r="I256" s="239"/>
    </row>
    <row r="257" spans="1:9" ht="15.75" thickBot="1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40"/>
      <c r="I257" s="241"/>
    </row>
    <row r="258" spans="1:9" s="17" customFormat="1" ht="16.5" thickTop="1" thickBot="1">
      <c r="B258" s="23"/>
      <c r="C258" s="23"/>
    </row>
    <row r="259" spans="1:9" ht="16.5" thickTop="1" thickBot="1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43" t="s">
        <v>598</v>
      </c>
      <c r="I259" s="243"/>
    </row>
    <row r="260" spans="1:9" s="17" customFormat="1" ht="16.5" thickTop="1" thickBot="1">
      <c r="B260" s="23"/>
      <c r="C260" s="23"/>
    </row>
    <row r="261" spans="1:9" ht="15.75" thickTop="1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36" t="s">
        <v>609</v>
      </c>
      <c r="I261" s="237"/>
    </row>
    <row r="262" spans="1:9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38"/>
      <c r="I262" s="239"/>
    </row>
    <row r="263" spans="1:9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38"/>
      <c r="I263" s="239"/>
    </row>
    <row r="264" spans="1:9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38"/>
      <c r="I264" s="239"/>
    </row>
    <row r="265" spans="1:9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38"/>
      <c r="I265" s="239"/>
    </row>
    <row r="266" spans="1:9" ht="15.75" thickBot="1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40"/>
      <c r="I266" s="241"/>
    </row>
    <row r="267" spans="1:9" s="17" customFormat="1" ht="15.75" thickTop="1">
      <c r="B267" s="23"/>
      <c r="C267" s="23"/>
    </row>
    <row r="268" spans="1:9">
      <c r="B268" s="22"/>
      <c r="C268" s="22"/>
    </row>
    <row r="269" spans="1:9">
      <c r="B269" s="22"/>
      <c r="C269" s="22"/>
    </row>
    <row r="270" spans="1:9">
      <c r="B270" s="22"/>
      <c r="C270" s="22"/>
    </row>
    <row r="271" spans="1:9">
      <c r="B271" s="22"/>
      <c r="C271" s="22"/>
    </row>
    <row r="272" spans="1:9">
      <c r="B272" s="22"/>
      <c r="C272" s="22"/>
    </row>
    <row r="273" spans="2:3">
      <c r="B273" s="22"/>
      <c r="C273" s="22"/>
    </row>
    <row r="274" spans="2:3">
      <c r="B274" s="22"/>
      <c r="C274" s="22"/>
    </row>
    <row r="275" spans="2:3">
      <c r="B275" s="22"/>
      <c r="C275" s="22"/>
    </row>
    <row r="276" spans="2:3">
      <c r="B276" s="22"/>
      <c r="C276" s="22"/>
    </row>
    <row r="277" spans="2:3">
      <c r="B277" s="22"/>
      <c r="C277" s="22"/>
    </row>
    <row r="278" spans="2:3">
      <c r="B278" s="22"/>
      <c r="C278" s="22"/>
    </row>
    <row r="279" spans="2:3">
      <c r="B279" s="22"/>
      <c r="C279" s="22"/>
    </row>
    <row r="280" spans="2:3">
      <c r="B280" s="22"/>
      <c r="C280" s="22"/>
    </row>
    <row r="281" spans="2:3">
      <c r="B281" s="22"/>
      <c r="C281" s="22"/>
    </row>
    <row r="282" spans="2:3">
      <c r="B282" s="22"/>
      <c r="C282" s="22"/>
    </row>
    <row r="283" spans="2:3">
      <c r="B283" s="22"/>
      <c r="C283" s="22"/>
    </row>
    <row r="284" spans="2:3">
      <c r="B284" s="22"/>
      <c r="C284" s="22"/>
    </row>
    <row r="285" spans="2:3">
      <c r="B285" s="22"/>
      <c r="C285" s="22"/>
    </row>
    <row r="286" spans="2:3">
      <c r="B286" s="22"/>
      <c r="C286" s="22"/>
    </row>
    <row r="287" spans="2:3">
      <c r="B287" s="22"/>
      <c r="C287" s="22"/>
    </row>
    <row r="288" spans="2:3">
      <c r="B288" s="22"/>
      <c r="C288" s="22"/>
    </row>
    <row r="289" spans="2:3">
      <c r="B289" s="22"/>
      <c r="C289" s="22"/>
    </row>
    <row r="290" spans="2:3">
      <c r="B290" s="22"/>
      <c r="C290" s="22"/>
    </row>
    <row r="291" spans="2:3">
      <c r="B291" s="22"/>
      <c r="C291" s="22"/>
    </row>
    <row r="292" spans="2:3">
      <c r="B292" s="22"/>
      <c r="C292" s="22"/>
    </row>
    <row r="293" spans="2:3">
      <c r="B293" s="22"/>
      <c r="C293" s="22"/>
    </row>
    <row r="294" spans="2:3">
      <c r="B294" s="22"/>
      <c r="C294" s="22"/>
    </row>
    <row r="295" spans="2:3">
      <c r="B295" s="22"/>
      <c r="C295" s="22"/>
    </row>
    <row r="296" spans="2:3">
      <c r="B296" s="22"/>
      <c r="C296" s="22"/>
    </row>
    <row r="297" spans="2:3">
      <c r="B297" s="22"/>
      <c r="C297" s="22"/>
    </row>
    <row r="298" spans="2:3">
      <c r="B298" s="22"/>
      <c r="C298" s="22"/>
    </row>
    <row r="299" spans="2:3">
      <c r="B299" s="22"/>
      <c r="C299" s="22"/>
    </row>
    <row r="300" spans="2:3">
      <c r="B300" s="22"/>
      <c r="C300" s="22"/>
    </row>
    <row r="301" spans="2:3">
      <c r="B301" s="22"/>
      <c r="C301" s="22"/>
    </row>
    <row r="302" spans="2:3">
      <c r="B302" s="22"/>
      <c r="C302" s="22"/>
    </row>
    <row r="303" spans="2:3">
      <c r="B303" s="22"/>
      <c r="C303" s="22"/>
    </row>
    <row r="304" spans="2:3">
      <c r="B304" s="22"/>
      <c r="C304" s="22"/>
    </row>
    <row r="305" spans="2:3">
      <c r="B305" s="22"/>
      <c r="C305" s="22"/>
    </row>
    <row r="306" spans="2:3">
      <c r="B306" s="22"/>
      <c r="C306" s="22"/>
    </row>
    <row r="307" spans="2:3">
      <c r="B307" s="22"/>
      <c r="C307" s="22"/>
    </row>
    <row r="308" spans="2:3">
      <c r="B308" s="22"/>
      <c r="C308" s="22"/>
    </row>
    <row r="309" spans="2:3">
      <c r="B309" s="22"/>
      <c r="C309" s="22"/>
    </row>
    <row r="310" spans="2:3">
      <c r="B310" s="22"/>
      <c r="C310" s="22"/>
    </row>
    <row r="311" spans="2:3">
      <c r="B311" s="22"/>
      <c r="C311" s="22"/>
    </row>
    <row r="312" spans="2:3">
      <c r="B312" s="22"/>
      <c r="C312" s="22"/>
    </row>
    <row r="313" spans="2:3">
      <c r="B313" s="22"/>
      <c r="C313" s="22"/>
    </row>
    <row r="314" spans="2:3">
      <c r="B314" s="22"/>
      <c r="C314" s="22"/>
    </row>
    <row r="315" spans="2:3">
      <c r="B315" s="22"/>
      <c r="C315" s="22"/>
    </row>
    <row r="316" spans="2:3">
      <c r="B316" s="22"/>
      <c r="C316" s="22"/>
    </row>
    <row r="317" spans="2:3">
      <c r="B317" s="22"/>
      <c r="C317" s="22"/>
    </row>
    <row r="318" spans="2:3">
      <c r="B318" s="22"/>
      <c r="C318" s="22"/>
    </row>
    <row r="319" spans="2:3">
      <c r="B319" s="22"/>
      <c r="C319" s="22"/>
    </row>
    <row r="320" spans="2:3">
      <c r="B320" s="22"/>
      <c r="C320" s="22"/>
    </row>
    <row r="321" spans="2:3">
      <c r="B321" s="22"/>
      <c r="C321" s="22"/>
    </row>
    <row r="322" spans="2:3">
      <c r="B322" s="22"/>
      <c r="C322" s="22"/>
    </row>
    <row r="323" spans="2:3">
      <c r="B323" s="22"/>
      <c r="C323" s="22"/>
    </row>
    <row r="324" spans="2:3">
      <c r="B324" s="22"/>
      <c r="C324" s="22"/>
    </row>
    <row r="325" spans="2:3">
      <c r="B325" s="22"/>
      <c r="C325" s="22"/>
    </row>
    <row r="326" spans="2:3">
      <c r="B326" s="22"/>
      <c r="C326" s="22"/>
    </row>
    <row r="327" spans="2:3">
      <c r="B327" s="22"/>
      <c r="C327" s="22"/>
    </row>
    <row r="328" spans="2:3">
      <c r="B328" s="22"/>
      <c r="C328" s="22"/>
    </row>
    <row r="329" spans="2:3">
      <c r="B329" s="22"/>
      <c r="C329" s="22"/>
    </row>
    <row r="330" spans="2:3">
      <c r="B330" s="22"/>
      <c r="C330" s="22"/>
    </row>
    <row r="331" spans="2:3">
      <c r="B331" s="22"/>
      <c r="C331" s="22"/>
    </row>
    <row r="332" spans="2:3">
      <c r="B332" s="22"/>
      <c r="C332" s="22"/>
    </row>
    <row r="333" spans="2:3">
      <c r="B333" s="22"/>
      <c r="C333" s="22"/>
    </row>
    <row r="334" spans="2:3">
      <c r="B334" s="22"/>
      <c r="C334" s="22"/>
    </row>
    <row r="335" spans="2:3">
      <c r="B335" s="22"/>
      <c r="C335" s="22"/>
    </row>
    <row r="336" spans="2:3">
      <c r="B336" s="22"/>
      <c r="C336" s="22"/>
    </row>
    <row r="337" spans="2:3">
      <c r="B337" s="22"/>
      <c r="C337" s="22"/>
    </row>
    <row r="338" spans="2:3">
      <c r="B338" s="22"/>
      <c r="C338" s="22"/>
    </row>
    <row r="339" spans="2:3">
      <c r="B339" s="22"/>
      <c r="C339" s="22"/>
    </row>
    <row r="340" spans="2:3">
      <c r="B340" s="22"/>
      <c r="C340" s="22"/>
    </row>
    <row r="341" spans="2:3">
      <c r="B341" s="22"/>
      <c r="C341" s="22"/>
    </row>
    <row r="342" spans="2:3">
      <c r="B342" s="22"/>
      <c r="C342" s="22"/>
    </row>
    <row r="343" spans="2:3">
      <c r="B343" s="22"/>
      <c r="C343" s="22"/>
    </row>
    <row r="344" spans="2:3">
      <c r="B344" s="22"/>
      <c r="C344" s="22"/>
    </row>
    <row r="345" spans="2:3">
      <c r="B345" s="22"/>
      <c r="C345" s="22"/>
    </row>
    <row r="346" spans="2:3">
      <c r="B346" s="22"/>
      <c r="C346" s="22"/>
    </row>
    <row r="347" spans="2:3">
      <c r="B347" s="22"/>
      <c r="C347" s="22"/>
    </row>
    <row r="348" spans="2:3">
      <c r="B348" s="22"/>
      <c r="C348" s="22"/>
    </row>
    <row r="349" spans="2:3">
      <c r="B349" s="22"/>
      <c r="C349" s="22"/>
    </row>
    <row r="350" spans="2:3">
      <c r="B350" s="22"/>
      <c r="C350" s="22"/>
    </row>
    <row r="351" spans="2:3">
      <c r="B351" s="22"/>
      <c r="C351" s="22"/>
    </row>
    <row r="352" spans="2:3">
      <c r="B352" s="22"/>
      <c r="C352" s="22"/>
    </row>
    <row r="353" spans="2:3">
      <c r="B353" s="22"/>
      <c r="C353" s="22"/>
    </row>
    <row r="354" spans="2:3">
      <c r="B354" s="22"/>
      <c r="C354" s="22"/>
    </row>
    <row r="355" spans="2:3">
      <c r="B355" s="22"/>
      <c r="C355" s="22"/>
    </row>
    <row r="356" spans="2:3">
      <c r="B356" s="22"/>
      <c r="C356" s="22"/>
    </row>
    <row r="357" spans="2:3">
      <c r="B357" s="22"/>
      <c r="C357" s="22"/>
    </row>
    <row r="358" spans="2:3">
      <c r="B358" s="22"/>
      <c r="C358" s="22"/>
    </row>
    <row r="359" spans="2:3">
      <c r="B359" s="22"/>
      <c r="C359" s="22"/>
    </row>
    <row r="360" spans="2:3">
      <c r="B360" s="22"/>
      <c r="C360" s="22"/>
    </row>
    <row r="361" spans="2:3">
      <c r="B361" s="22"/>
      <c r="C361" s="22"/>
    </row>
    <row r="362" spans="2:3">
      <c r="B362" s="22"/>
      <c r="C362" s="22"/>
    </row>
    <row r="363" spans="2:3">
      <c r="B363" s="22"/>
      <c r="C363" s="22"/>
    </row>
    <row r="364" spans="2:3">
      <c r="B364" s="22"/>
      <c r="C364" s="22"/>
    </row>
    <row r="365" spans="2:3">
      <c r="B365" s="22"/>
      <c r="C365" s="22"/>
    </row>
    <row r="366" spans="2:3">
      <c r="B366" s="22"/>
      <c r="C366" s="22"/>
    </row>
    <row r="367" spans="2:3">
      <c r="B367" s="22"/>
      <c r="C367" s="22"/>
    </row>
    <row r="368" spans="2:3">
      <c r="B368" s="22"/>
      <c r="C368" s="22"/>
    </row>
    <row r="369" spans="2:3">
      <c r="B369" s="22"/>
      <c r="C369" s="22"/>
    </row>
    <row r="370" spans="2:3">
      <c r="B370" s="22"/>
      <c r="C370" s="22"/>
    </row>
    <row r="371" spans="2:3">
      <c r="B371" s="22"/>
      <c r="C371" s="22"/>
    </row>
    <row r="372" spans="2:3">
      <c r="B372" s="22"/>
      <c r="C372" s="22"/>
    </row>
    <row r="373" spans="2:3">
      <c r="B373" s="22"/>
      <c r="C373" s="22"/>
    </row>
    <row r="374" spans="2:3">
      <c r="B374" s="22"/>
      <c r="C374" s="22"/>
    </row>
    <row r="375" spans="2:3">
      <c r="B375" s="22"/>
      <c r="C375" s="22"/>
    </row>
    <row r="376" spans="2:3">
      <c r="B376" s="22"/>
      <c r="C376" s="22"/>
    </row>
    <row r="377" spans="2:3">
      <c r="B377" s="22"/>
      <c r="C377" s="22"/>
    </row>
    <row r="378" spans="2:3">
      <c r="B378" s="22"/>
      <c r="C378" s="22"/>
    </row>
    <row r="379" spans="2:3">
      <c r="B379" s="22"/>
      <c r="C379" s="22"/>
    </row>
    <row r="380" spans="2:3">
      <c r="B380" s="22"/>
      <c r="C380" s="22"/>
    </row>
    <row r="381" spans="2:3">
      <c r="B381" s="22"/>
      <c r="C381" s="22"/>
    </row>
    <row r="382" spans="2:3">
      <c r="B382" s="22"/>
      <c r="C382" s="22"/>
    </row>
    <row r="383" spans="2:3">
      <c r="B383" s="22"/>
      <c r="C383" s="22"/>
    </row>
    <row r="384" spans="2:3">
      <c r="B384" s="22"/>
      <c r="C384" s="22"/>
    </row>
    <row r="385" spans="2:3">
      <c r="B385" s="22"/>
      <c r="C385" s="22"/>
    </row>
    <row r="386" spans="2:3">
      <c r="B386" s="22"/>
      <c r="C386" s="22"/>
    </row>
    <row r="387" spans="2:3">
      <c r="B387" s="22"/>
      <c r="C387" s="22"/>
    </row>
    <row r="388" spans="2:3">
      <c r="B388" s="22"/>
      <c r="C388" s="22"/>
    </row>
    <row r="389" spans="2:3">
      <c r="B389" s="22"/>
      <c r="C389" s="22"/>
    </row>
    <row r="390" spans="2:3">
      <c r="B390" s="22"/>
      <c r="C390" s="22"/>
    </row>
    <row r="391" spans="2:3">
      <c r="B391" s="22"/>
      <c r="C391" s="22"/>
    </row>
    <row r="392" spans="2:3">
      <c r="B392" s="22"/>
      <c r="C392" s="22"/>
    </row>
    <row r="393" spans="2:3">
      <c r="B393" s="22"/>
      <c r="C393" s="22"/>
    </row>
    <row r="394" spans="2:3">
      <c r="B394" s="22"/>
      <c r="C394" s="22"/>
    </row>
    <row r="395" spans="2:3">
      <c r="B395" s="22"/>
      <c r="C395" s="22"/>
    </row>
    <row r="396" spans="2:3">
      <c r="B396" s="22"/>
      <c r="C396" s="22"/>
    </row>
    <row r="397" spans="2:3">
      <c r="B397" s="22"/>
      <c r="C397" s="22"/>
    </row>
    <row r="398" spans="2:3">
      <c r="B398" s="22"/>
      <c r="C398" s="22"/>
    </row>
    <row r="399" spans="2:3">
      <c r="B399" s="22"/>
      <c r="C399" s="22"/>
    </row>
    <row r="400" spans="2:3">
      <c r="B400" s="22"/>
      <c r="C400" s="22"/>
    </row>
    <row r="401" spans="2:3">
      <c r="B401" s="22"/>
      <c r="C401" s="22"/>
    </row>
    <row r="402" spans="2:3">
      <c r="B402" s="22"/>
      <c r="C402" s="22"/>
    </row>
    <row r="403" spans="2:3">
      <c r="B403" s="22"/>
      <c r="C403" s="22"/>
    </row>
    <row r="404" spans="2:3">
      <c r="B404" s="22"/>
      <c r="C404" s="22"/>
    </row>
    <row r="405" spans="2:3">
      <c r="B405" s="22"/>
      <c r="C405" s="22"/>
    </row>
    <row r="406" spans="2:3">
      <c r="B406" s="22"/>
      <c r="C406" s="22"/>
    </row>
    <row r="407" spans="2:3">
      <c r="B407" s="22"/>
      <c r="C407" s="22"/>
    </row>
    <row r="408" spans="2:3">
      <c r="B408" s="22"/>
      <c r="C408" s="22"/>
    </row>
    <row r="409" spans="2:3">
      <c r="B409" s="22"/>
      <c r="C409" s="22"/>
    </row>
    <row r="410" spans="2:3">
      <c r="B410" s="22"/>
      <c r="C410" s="22"/>
    </row>
    <row r="411" spans="2:3">
      <c r="B411" s="22"/>
      <c r="C411" s="22"/>
    </row>
    <row r="412" spans="2:3">
      <c r="B412" s="22"/>
      <c r="C412" s="22"/>
    </row>
    <row r="413" spans="2:3">
      <c r="B413" s="22"/>
      <c r="C413" s="22"/>
    </row>
    <row r="414" spans="2:3">
      <c r="B414" s="22"/>
      <c r="C414" s="22"/>
    </row>
    <row r="415" spans="2:3">
      <c r="B415" s="22"/>
      <c r="C415" s="22"/>
    </row>
    <row r="416" spans="2:3">
      <c r="B416" s="22"/>
      <c r="C416" s="22"/>
    </row>
    <row r="417" spans="2:3">
      <c r="B417" s="22"/>
      <c r="C417" s="22"/>
    </row>
    <row r="418" spans="2:3">
      <c r="B418" s="22"/>
      <c r="C418" s="22"/>
    </row>
    <row r="419" spans="2:3">
      <c r="B419" s="22"/>
      <c r="C419" s="22"/>
    </row>
    <row r="420" spans="2:3">
      <c r="B420" s="22"/>
      <c r="C420" s="22"/>
    </row>
    <row r="421" spans="2:3">
      <c r="B421" s="22"/>
      <c r="C421" s="22"/>
    </row>
    <row r="422" spans="2:3">
      <c r="B422" s="22"/>
      <c r="C422" s="22"/>
    </row>
    <row r="423" spans="2:3">
      <c r="B423" s="22"/>
      <c r="C423" s="22"/>
    </row>
    <row r="424" spans="2:3">
      <c r="B424" s="22"/>
      <c r="C424" s="22"/>
    </row>
    <row r="425" spans="2:3">
      <c r="B425" s="22"/>
      <c r="C425" s="22"/>
    </row>
    <row r="426" spans="2:3">
      <c r="B426" s="22"/>
      <c r="C426" s="22"/>
    </row>
    <row r="427" spans="2:3">
      <c r="B427" s="22"/>
      <c r="C427" s="22"/>
    </row>
    <row r="428" spans="2:3">
      <c r="B428" s="22"/>
      <c r="C428" s="22"/>
    </row>
    <row r="429" spans="2:3">
      <c r="B429" s="22"/>
      <c r="C429" s="22"/>
    </row>
    <row r="430" spans="2:3">
      <c r="B430" s="22"/>
      <c r="C430" s="22"/>
    </row>
    <row r="431" spans="2:3">
      <c r="B431" s="22"/>
      <c r="C431" s="22"/>
    </row>
    <row r="432" spans="2:3">
      <c r="B432" s="22"/>
      <c r="C432" s="22"/>
    </row>
    <row r="433" spans="2:3">
      <c r="B433" s="22"/>
      <c r="C433" s="22"/>
    </row>
    <row r="434" spans="2:3">
      <c r="B434" s="22"/>
      <c r="C434" s="22"/>
    </row>
    <row r="435" spans="2:3">
      <c r="B435" s="22"/>
      <c r="C435" s="22"/>
    </row>
    <row r="436" spans="2:3">
      <c r="B436" s="22"/>
      <c r="C436" s="22"/>
    </row>
    <row r="437" spans="2:3">
      <c r="B437" s="22"/>
      <c r="C437" s="22"/>
    </row>
    <row r="438" spans="2:3">
      <c r="B438" s="22"/>
      <c r="C438" s="22"/>
    </row>
    <row r="439" spans="2:3">
      <c r="B439" s="22"/>
      <c r="C439" s="22"/>
    </row>
    <row r="440" spans="2:3">
      <c r="B440" s="22"/>
      <c r="C440" s="22"/>
    </row>
    <row r="441" spans="2:3">
      <c r="B441" s="22"/>
      <c r="C441" s="22"/>
    </row>
    <row r="442" spans="2:3">
      <c r="B442" s="22"/>
      <c r="C442" s="22"/>
    </row>
    <row r="443" spans="2:3">
      <c r="B443" s="22"/>
      <c r="C443" s="22"/>
    </row>
    <row r="444" spans="2:3">
      <c r="B444" s="22"/>
      <c r="C444" s="22"/>
    </row>
    <row r="445" spans="2:3">
      <c r="B445" s="22"/>
      <c r="C445" s="22"/>
    </row>
    <row r="446" spans="2:3">
      <c r="B446" s="22"/>
      <c r="C446" s="22"/>
    </row>
    <row r="447" spans="2:3">
      <c r="B447" s="22"/>
      <c r="C447" s="22"/>
    </row>
    <row r="448" spans="2:3">
      <c r="B448" s="22"/>
      <c r="C448" s="22"/>
    </row>
    <row r="449" spans="2:3">
      <c r="B449" s="22"/>
      <c r="C449" s="22"/>
    </row>
    <row r="450" spans="2:3">
      <c r="B450" s="22"/>
      <c r="C450" s="22"/>
    </row>
    <row r="451" spans="2:3">
      <c r="B451" s="22"/>
      <c r="C451" s="22"/>
    </row>
    <row r="452" spans="2:3">
      <c r="B452" s="22"/>
      <c r="C452" s="22"/>
    </row>
    <row r="453" spans="2:3">
      <c r="B453" s="22"/>
      <c r="C453" s="22"/>
    </row>
    <row r="454" spans="2:3">
      <c r="B454" s="22"/>
      <c r="C454" s="22"/>
    </row>
    <row r="455" spans="2:3">
      <c r="B455" s="22"/>
      <c r="C455" s="22"/>
    </row>
    <row r="456" spans="2:3">
      <c r="B456" s="22"/>
      <c r="C456" s="22"/>
    </row>
    <row r="457" spans="2:3">
      <c r="B457" s="22"/>
      <c r="C457" s="22"/>
    </row>
    <row r="458" spans="2:3">
      <c r="B458" s="22"/>
      <c r="C458" s="22"/>
    </row>
    <row r="459" spans="2:3">
      <c r="B459" s="22"/>
      <c r="C459" s="22"/>
    </row>
    <row r="460" spans="2:3">
      <c r="B460" s="22"/>
      <c r="C460" s="22"/>
    </row>
    <row r="461" spans="2:3">
      <c r="B461" s="22"/>
      <c r="C461" s="22"/>
    </row>
    <row r="462" spans="2:3">
      <c r="B462" s="22"/>
      <c r="C462" s="22"/>
    </row>
    <row r="463" spans="2:3">
      <c r="B463" s="22"/>
      <c r="C463" s="22"/>
    </row>
    <row r="464" spans="2:3">
      <c r="B464" s="22"/>
      <c r="C464" s="22"/>
    </row>
    <row r="465" spans="2:3">
      <c r="B465" s="22"/>
      <c r="C465" s="22"/>
    </row>
    <row r="466" spans="2:3">
      <c r="B466" s="22"/>
      <c r="C466" s="22"/>
    </row>
    <row r="467" spans="2:3">
      <c r="B467" s="22"/>
      <c r="C467" s="22"/>
    </row>
    <row r="468" spans="2:3">
      <c r="B468" s="22"/>
      <c r="C468" s="22"/>
    </row>
    <row r="469" spans="2:3">
      <c r="B469" s="22"/>
      <c r="C469" s="22"/>
    </row>
    <row r="470" spans="2:3">
      <c r="B470" s="22"/>
      <c r="C470" s="22"/>
    </row>
    <row r="471" spans="2:3">
      <c r="B471" s="22"/>
      <c r="C471" s="22"/>
    </row>
    <row r="472" spans="2:3">
      <c r="B472" s="22"/>
      <c r="C472" s="22"/>
    </row>
    <row r="473" spans="2:3">
      <c r="B473" s="22"/>
      <c r="C473" s="22"/>
    </row>
    <row r="474" spans="2:3">
      <c r="B474" s="22"/>
      <c r="C474" s="22"/>
    </row>
    <row r="475" spans="2:3">
      <c r="B475" s="22"/>
      <c r="C475" s="22"/>
    </row>
    <row r="476" spans="2:3">
      <c r="B476" s="22"/>
      <c r="C476" s="22"/>
    </row>
    <row r="477" spans="2:3">
      <c r="B477" s="22"/>
      <c r="C477" s="22"/>
    </row>
    <row r="478" spans="2:3">
      <c r="B478" s="22"/>
      <c r="C478" s="22"/>
    </row>
    <row r="479" spans="2:3">
      <c r="B479" s="22"/>
      <c r="C479" s="22"/>
    </row>
    <row r="480" spans="2:3">
      <c r="B480" s="22"/>
      <c r="C480" s="22"/>
    </row>
    <row r="481" spans="2:3">
      <c r="B481" s="22"/>
      <c r="C481" s="22"/>
    </row>
    <row r="482" spans="2:3">
      <c r="B482" s="22"/>
      <c r="C482" s="22"/>
    </row>
    <row r="483" spans="2:3">
      <c r="B483" s="22"/>
      <c r="C483" s="22"/>
    </row>
    <row r="484" spans="2:3">
      <c r="B484" s="22"/>
      <c r="C484" s="22"/>
    </row>
    <row r="485" spans="2:3">
      <c r="B485" s="22"/>
      <c r="C485" s="22"/>
    </row>
    <row r="486" spans="2:3">
      <c r="B486" s="22"/>
      <c r="C486" s="22"/>
    </row>
    <row r="487" spans="2:3">
      <c r="B487" s="22"/>
      <c r="C487" s="22"/>
    </row>
    <row r="488" spans="2:3">
      <c r="B488" s="22"/>
      <c r="C488" s="22"/>
    </row>
    <row r="489" spans="2:3">
      <c r="B489" s="22"/>
      <c r="C489" s="22"/>
    </row>
    <row r="490" spans="2:3">
      <c r="B490" s="22"/>
      <c r="C490" s="22"/>
    </row>
    <row r="491" spans="2:3">
      <c r="B491" s="22"/>
      <c r="C491" s="22"/>
    </row>
    <row r="492" spans="2:3">
      <c r="B492" s="22"/>
      <c r="C492" s="22"/>
    </row>
    <row r="493" spans="2:3">
      <c r="B493" s="22"/>
      <c r="C493" s="22"/>
    </row>
    <row r="494" spans="2:3">
      <c r="B494" s="22"/>
      <c r="C494" s="22"/>
    </row>
    <row r="495" spans="2:3">
      <c r="B495" s="22"/>
      <c r="C495" s="22"/>
    </row>
    <row r="496" spans="2:3">
      <c r="B496" s="22"/>
      <c r="C496" s="22"/>
    </row>
    <row r="497" spans="2:3">
      <c r="B497" s="22"/>
      <c r="C497" s="22"/>
    </row>
    <row r="498" spans="2:3">
      <c r="B498" s="22"/>
      <c r="C498" s="22"/>
    </row>
    <row r="499" spans="2:3">
      <c r="B499" s="22"/>
      <c r="C499" s="22"/>
    </row>
    <row r="500" spans="2:3">
      <c r="B500" s="22"/>
      <c r="C500" s="22"/>
    </row>
    <row r="501" spans="2:3">
      <c r="B501" s="22"/>
      <c r="C501" s="22"/>
    </row>
    <row r="502" spans="2:3">
      <c r="B502" s="22"/>
      <c r="C502" s="22"/>
    </row>
    <row r="503" spans="2:3">
      <c r="B503" s="22"/>
      <c r="C503" s="22"/>
    </row>
    <row r="504" spans="2:3">
      <c r="B504" s="22"/>
      <c r="C504" s="22"/>
    </row>
    <row r="505" spans="2:3">
      <c r="B505" s="22"/>
      <c r="C505" s="22"/>
    </row>
    <row r="506" spans="2:3">
      <c r="B506" s="22"/>
      <c r="C506" s="22"/>
    </row>
    <row r="507" spans="2:3">
      <c r="B507" s="22"/>
      <c r="C507" s="22"/>
    </row>
    <row r="508" spans="2:3">
      <c r="B508" s="22"/>
      <c r="C508" s="22"/>
    </row>
    <row r="509" spans="2:3">
      <c r="B509" s="22"/>
      <c r="C509" s="22"/>
    </row>
    <row r="510" spans="2:3">
      <c r="B510" s="22"/>
      <c r="C510" s="22"/>
    </row>
    <row r="511" spans="2:3">
      <c r="B511" s="22"/>
      <c r="C511" s="22"/>
    </row>
    <row r="512" spans="2:3">
      <c r="B512" s="22"/>
      <c r="C512" s="22"/>
    </row>
    <row r="513" spans="3:3">
      <c r="C513" s="22"/>
    </row>
  </sheetData>
  <mergeCells count="30">
    <mergeCell ref="H188:I194"/>
    <mergeCell ref="H196:I199"/>
    <mergeCell ref="H201:I206"/>
    <mergeCell ref="H208:I212"/>
    <mergeCell ref="H214:I223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49:I158"/>
    <mergeCell ref="H160:I166"/>
    <mergeCell ref="H168:I170"/>
    <mergeCell ref="H172:I179"/>
    <mergeCell ref="H181:I186"/>
    <mergeCell ref="H261:I266"/>
    <mergeCell ref="H225:I237"/>
    <mergeCell ref="H239:I252"/>
    <mergeCell ref="H254:I257"/>
    <mergeCell ref="H259:I259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P11" sqref="P11"/>
    </sheetView>
  </sheetViews>
  <sheetFormatPr defaultRowHeight="1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2019-01-01T01:09:55Z</dcterms:modified>
</cp:coreProperties>
</file>